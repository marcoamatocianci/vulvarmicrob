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NA" sheetId="1" state="visible" r:id="rId3"/>
  </sheets>
  <definedNames>
    <definedName function="false" hidden="true" localSheetId="0" name="_xlnm._FilterDatabase" vbProcedure="false">RNA!$A$1:$W$1894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<sst xmlns="http://schemas.openxmlformats.org/spreadsheetml/2006/main" count="1081" uniqueCount="229">
  <si>
    <t xml:space="preserve">ls</t>
  </si>
  <si>
    <t xml:space="preserve">BATCH</t>
  </si>
  <si>
    <t xml:space="preserve">PatientID</t>
  </si>
  <si>
    <t xml:space="preserve">Analysis first draf</t>
  </si>
  <si>
    <t xml:space="preserve">SampleType</t>
  </si>
  <si>
    <t xml:space="preserve">Run</t>
  </si>
  <si>
    <t xml:space="preserve">Concentration(ng/ul)-NANODROP</t>
  </si>
  <si>
    <t xml:space="preserve">Concentration(ng/ul)-QUBIT</t>
  </si>
  <si>
    <t xml:space="preserve">tot reads</t>
  </si>
  <si>
    <t xml:space="preserve">Assigned</t>
  </si>
  <si>
    <t xml:space="preserve">Unassigned_Ambiguity</t>
  </si>
  <si>
    <t xml:space="preserve">Unassigned_NoFeatures</t>
  </si>
  <si>
    <t xml:space="preserve">non_ribo_uniq_map</t>
  </si>
  <si>
    <t xml:space="preserve">non_ribo_multi_map</t>
  </si>
  <si>
    <t xml:space="preserve">ribo</t>
  </si>
  <si>
    <t xml:space="preserve">unmap</t>
  </si>
  <si>
    <t xml:space="preserve">norm_Assigned</t>
  </si>
  <si>
    <t xml:space="preserve">norm_Unassigned_Ambiguity</t>
  </si>
  <si>
    <t xml:space="preserve">norm_Unassigned_NoFeatures</t>
  </si>
  <si>
    <t xml:space="preserve">norm_non_ribo_uniq_map</t>
  </si>
  <si>
    <t xml:space="preserve">norm_non_ribo_multi_map</t>
  </si>
  <si>
    <t xml:space="preserve">norm_ribo</t>
  </si>
  <si>
    <t xml:space="preserve">norm_unmap</t>
  </si>
  <si>
    <t xml:space="preserve">Date(libraryready)</t>
  </si>
  <si>
    <t xml:space="preserve">RNA extraction</t>
  </si>
  <si>
    <t xml:space="preserve">Tape(Library)</t>
  </si>
  <si>
    <t xml:space="preserve">AM1</t>
  </si>
  <si>
    <t xml:space="preserve">NO</t>
  </si>
  <si>
    <t xml:space="preserve">NA</t>
  </si>
  <si>
    <t xml:space="preserve">230223_FA</t>
  </si>
  <si>
    <t xml:space="preserve">230221_AA</t>
  </si>
  <si>
    <t xml:space="preserve">230217_AA</t>
  </si>
  <si>
    <t xml:space="preserve">2023-02-21</t>
  </si>
  <si>
    <t xml:space="preserve">AM2</t>
  </si>
  <si>
    <t xml:space="preserve">YES</t>
  </si>
  <si>
    <t xml:space="preserve">D</t>
  </si>
  <si>
    <t xml:space="preserve">AM3</t>
  </si>
  <si>
    <t xml:space="preserve">231003_FA</t>
  </si>
  <si>
    <t xml:space="preserve">toolow</t>
  </si>
  <si>
    <t xml:space="preserve">230309_AA</t>
  </si>
  <si>
    <t xml:space="preserve">2023-03-09</t>
  </si>
  <si>
    <t xml:space="preserve">AM4</t>
  </si>
  <si>
    <t xml:space="preserve">230329_FA</t>
  </si>
  <si>
    <t xml:space="preserve">2023-03-10</t>
  </si>
  <si>
    <t xml:space="preserve">AM5</t>
  </si>
  <si>
    <t xml:space="preserve">AM6</t>
  </si>
  <si>
    <t xml:space="preserve">AM7</t>
  </si>
  <si>
    <t xml:space="preserve">AM8</t>
  </si>
  <si>
    <t xml:space="preserve">AM9</t>
  </si>
  <si>
    <t xml:space="preserve">230228_AA</t>
  </si>
  <si>
    <t xml:space="preserve">AM10</t>
  </si>
  <si>
    <t xml:space="preserve">AM11</t>
  </si>
  <si>
    <t xml:space="preserve">230417_FA</t>
  </si>
  <si>
    <t xml:space="preserve">230407_AA</t>
  </si>
  <si>
    <t xml:space="preserve">2023-04-07</t>
  </si>
  <si>
    <t xml:space="preserve">AM12</t>
  </si>
  <si>
    <t xml:space="preserve">AM13</t>
  </si>
  <si>
    <t xml:space="preserve">230302_AA</t>
  </si>
  <si>
    <t xml:space="preserve">AM14</t>
  </si>
  <si>
    <t xml:space="preserve">230502_FA</t>
  </si>
  <si>
    <t xml:space="preserve">230418_AA</t>
  </si>
  <si>
    <t xml:space="preserve">2023-04-18</t>
  </si>
  <si>
    <t xml:space="preserve">AM15</t>
  </si>
  <si>
    <t xml:space="preserve">230626_AK</t>
  </si>
  <si>
    <t xml:space="preserve">230531_AA</t>
  </si>
  <si>
    <t xml:space="preserve">2023-05-31</t>
  </si>
  <si>
    <t xml:space="preserve">AM16</t>
  </si>
  <si>
    <t xml:space="preserve">230504_AA</t>
  </si>
  <si>
    <t xml:space="preserve">2023-05-04</t>
  </si>
  <si>
    <t xml:space="preserve">231031_FA</t>
  </si>
  <si>
    <t xml:space="preserve">231013_AA</t>
  </si>
  <si>
    <t xml:space="preserve">230526_AA</t>
  </si>
  <si>
    <t xml:space="preserve">2023-10-13</t>
  </si>
  <si>
    <t xml:space="preserve">AM17</t>
  </si>
  <si>
    <t xml:space="preserve">230608_FA</t>
  </si>
  <si>
    <t xml:space="preserve">230919_AA</t>
  </si>
  <si>
    <t xml:space="preserve">AM18</t>
  </si>
  <si>
    <t xml:space="preserve">230306_AA</t>
  </si>
  <si>
    <t xml:space="preserve">AM19</t>
  </si>
  <si>
    <t xml:space="preserve">AM20</t>
  </si>
  <si>
    <t xml:space="preserve">AM21</t>
  </si>
  <si>
    <t xml:space="preserve">230313_AA</t>
  </si>
  <si>
    <t xml:space="preserve">AM22</t>
  </si>
  <si>
    <t xml:space="preserve">230601_FA</t>
  </si>
  <si>
    <t xml:space="preserve">AM23</t>
  </si>
  <si>
    <t xml:space="preserve">231027_AA</t>
  </si>
  <si>
    <t xml:space="preserve">AM24</t>
  </si>
  <si>
    <t xml:space="preserve">230320_AA</t>
  </si>
  <si>
    <t xml:space="preserve">AM25</t>
  </si>
  <si>
    <t xml:space="preserve">AM26</t>
  </si>
  <si>
    <t xml:space="preserve">240314_FA</t>
  </si>
  <si>
    <t xml:space="preserve">240301_AA</t>
  </si>
  <si>
    <t xml:space="preserve">AM27</t>
  </si>
  <si>
    <t xml:space="preserve">230330_AA</t>
  </si>
  <si>
    <t xml:space="preserve">AM28</t>
  </si>
  <si>
    <t xml:space="preserve">AM29</t>
  </si>
  <si>
    <t xml:space="preserve">230411_AA</t>
  </si>
  <si>
    <t xml:space="preserve">230613_AA</t>
  </si>
  <si>
    <t xml:space="preserve">AM30</t>
  </si>
  <si>
    <t xml:space="preserve">H</t>
  </si>
  <si>
    <t xml:space="preserve">AM31</t>
  </si>
  <si>
    <t xml:space="preserve">230928_FL</t>
  </si>
  <si>
    <t xml:space="preserve">AM32</t>
  </si>
  <si>
    <t xml:space="preserve">230502_AA</t>
  </si>
  <si>
    <t xml:space="preserve">AM34</t>
  </si>
  <si>
    <t xml:space="preserve">230512_AA</t>
  </si>
  <si>
    <t xml:space="preserve">AM35</t>
  </si>
  <si>
    <t xml:space="preserve">AM36</t>
  </si>
  <si>
    <t xml:space="preserve">230828_FA</t>
  </si>
  <si>
    <t xml:space="preserve">230810_AA</t>
  </si>
  <si>
    <t xml:space="preserve">2023-08-10</t>
  </si>
  <si>
    <t xml:space="preserve">AM37</t>
  </si>
  <si>
    <t xml:space="preserve">230524_AA</t>
  </si>
  <si>
    <t xml:space="preserve">2023-05-26</t>
  </si>
  <si>
    <t xml:space="preserve">AM38</t>
  </si>
  <si>
    <t xml:space="preserve">AM39</t>
  </si>
  <si>
    <t xml:space="preserve">AM40</t>
  </si>
  <si>
    <t xml:space="preserve">AM41</t>
  </si>
  <si>
    <t xml:space="preserve">240110_FA</t>
  </si>
  <si>
    <t xml:space="preserve">AM42</t>
  </si>
  <si>
    <t xml:space="preserve">AM43</t>
  </si>
  <si>
    <t xml:space="preserve">AM44</t>
  </si>
  <si>
    <t xml:space="preserve">230705_AA</t>
  </si>
  <si>
    <t xml:space="preserve">AM45</t>
  </si>
  <si>
    <t xml:space="preserve">230719_AA</t>
  </si>
  <si>
    <t xml:space="preserve">AM46</t>
  </si>
  <si>
    <t xml:space="preserve">AM47</t>
  </si>
  <si>
    <t xml:space="preserve">AM48</t>
  </si>
  <si>
    <t xml:space="preserve">230721_AA</t>
  </si>
  <si>
    <t xml:space="preserve">AM49</t>
  </si>
  <si>
    <t xml:space="preserve">AM50</t>
  </si>
  <si>
    <t xml:space="preserve">AM51</t>
  </si>
  <si>
    <t xml:space="preserve">AM52</t>
  </si>
  <si>
    <t xml:space="preserve">231122_AA</t>
  </si>
  <si>
    <t xml:space="preserve">TT1</t>
  </si>
  <si>
    <t xml:space="preserve">230213_AA</t>
  </si>
  <si>
    <t xml:space="preserve">230206_AA</t>
  </si>
  <si>
    <t xml:space="preserve">2023-02-22</t>
  </si>
  <si>
    <t xml:space="preserve">230215_AA</t>
  </si>
  <si>
    <t xml:space="preserve">2023-02-15</t>
  </si>
  <si>
    <t xml:space="preserve">TT2</t>
  </si>
  <si>
    <t xml:space="preserve">TT3</t>
  </si>
  <si>
    <t xml:space="preserve">TT4</t>
  </si>
  <si>
    <t xml:space="preserve">TT5</t>
  </si>
  <si>
    <t xml:space="preserve">TT7</t>
  </si>
  <si>
    <t xml:space="preserve">TT8</t>
  </si>
  <si>
    <t xml:space="preserve">TT9</t>
  </si>
  <si>
    <t xml:space="preserve">TT10</t>
  </si>
  <si>
    <t xml:space="preserve">TT11</t>
  </si>
  <si>
    <t xml:space="preserve">TT12</t>
  </si>
  <si>
    <t xml:space="preserve">TT13</t>
  </si>
  <si>
    <t xml:space="preserve">TT14</t>
  </si>
  <si>
    <t xml:space="preserve">TT15</t>
  </si>
  <si>
    <t xml:space="preserve">TT16</t>
  </si>
  <si>
    <t xml:space="preserve">240117_FA</t>
  </si>
  <si>
    <t xml:space="preserve">TT17</t>
  </si>
  <si>
    <t xml:space="preserve">TT18</t>
  </si>
  <si>
    <t xml:space="preserve">TT20</t>
  </si>
  <si>
    <t xml:space="preserve">TT21</t>
  </si>
  <si>
    <t xml:space="preserve">TT22</t>
  </si>
  <si>
    <t xml:space="preserve">TT23</t>
  </si>
  <si>
    <t xml:space="preserve">TT24</t>
  </si>
  <si>
    <t xml:space="preserve">TT28</t>
  </si>
  <si>
    <t xml:space="preserve">230809_AA</t>
  </si>
  <si>
    <t xml:space="preserve">TT29</t>
  </si>
  <si>
    <t xml:space="preserve">TT31</t>
  </si>
  <si>
    <t xml:space="preserve">TT39</t>
  </si>
  <si>
    <t xml:space="preserve">TT41</t>
  </si>
  <si>
    <t xml:space="preserve">TT51</t>
  </si>
  <si>
    <t xml:space="preserve">TT52</t>
  </si>
  <si>
    <t xml:space="preserve">231012_FA</t>
  </si>
  <si>
    <t xml:space="preserve">TT54</t>
  </si>
  <si>
    <t xml:space="preserve">TT55</t>
  </si>
  <si>
    <t xml:space="preserve">TT56</t>
  </si>
  <si>
    <t xml:space="preserve">2023-08-11</t>
  </si>
  <si>
    <t xml:space="preserve">TT57</t>
  </si>
  <si>
    <t xml:space="preserve">TT59</t>
  </si>
  <si>
    <t xml:space="preserve">TT60</t>
  </si>
  <si>
    <t xml:space="preserve">TT62</t>
  </si>
  <si>
    <t xml:space="preserve">TT63</t>
  </si>
  <si>
    <t xml:space="preserve">TT64</t>
  </si>
  <si>
    <t xml:space="preserve">TT65</t>
  </si>
  <si>
    <t xml:space="preserve">TT66</t>
  </si>
  <si>
    <t xml:space="preserve">TT67</t>
  </si>
  <si>
    <t xml:space="preserve">TT69</t>
  </si>
  <si>
    <t xml:space="preserve">TT70</t>
  </si>
  <si>
    <t xml:space="preserve">TT71</t>
  </si>
  <si>
    <t xml:space="preserve">TT72</t>
  </si>
  <si>
    <t xml:space="preserve">TT73</t>
  </si>
  <si>
    <t xml:space="preserve">TT74</t>
  </si>
  <si>
    <t xml:space="preserve">TT75</t>
  </si>
  <si>
    <t xml:space="preserve">TT76</t>
  </si>
  <si>
    <t xml:space="preserve">TT81</t>
  </si>
  <si>
    <t xml:space="preserve">TT88</t>
  </si>
  <si>
    <t xml:space="preserve">TT98</t>
  </si>
  <si>
    <t xml:space="preserve">TT99</t>
  </si>
  <si>
    <t xml:space="preserve">TT101</t>
  </si>
  <si>
    <t xml:space="preserve">240306_FA</t>
  </si>
  <si>
    <t xml:space="preserve">TT105</t>
  </si>
  <si>
    <t xml:space="preserve">TT108</t>
  </si>
  <si>
    <t xml:space="preserve">240214_LB</t>
  </si>
  <si>
    <t xml:space="preserve">TT109</t>
  </si>
  <si>
    <t xml:space="preserve">TT110</t>
  </si>
  <si>
    <t xml:space="preserve">TT112</t>
  </si>
  <si>
    <t xml:space="preserve">TT113</t>
  </si>
  <si>
    <t xml:space="preserve">TT114</t>
  </si>
  <si>
    <t xml:space="preserve">TT116</t>
  </si>
  <si>
    <t xml:space="preserve">TT118</t>
  </si>
  <si>
    <t xml:space="preserve">TT119</t>
  </si>
  <si>
    <t xml:space="preserve">TT120</t>
  </si>
  <si>
    <t xml:space="preserve">TT121</t>
  </si>
  <si>
    <t xml:space="preserve">TT132</t>
  </si>
  <si>
    <t xml:space="preserve">TT150</t>
  </si>
  <si>
    <t xml:space="preserve">TT161</t>
  </si>
  <si>
    <t xml:space="preserve">240905_LB</t>
  </si>
  <si>
    <t xml:space="preserve">TT163</t>
  </si>
  <si>
    <t xml:space="preserve">TT164</t>
  </si>
  <si>
    <t xml:space="preserve">TT170</t>
  </si>
  <si>
    <t xml:space="preserve">BP1</t>
  </si>
  <si>
    <t xml:space="preserve">230727_AA</t>
  </si>
  <si>
    <t xml:space="preserve">BP2</t>
  </si>
  <si>
    <t xml:space="preserve">BP3</t>
  </si>
  <si>
    <t xml:space="preserve">BP4</t>
  </si>
  <si>
    <t xml:space="preserve">BP5</t>
  </si>
  <si>
    <t xml:space="preserve">BP6</t>
  </si>
  <si>
    <t xml:space="preserve">BP7</t>
  </si>
  <si>
    <t xml:space="preserve">NEG</t>
  </si>
  <si>
    <t xml:space="preserve">241219_FL</t>
  </si>
  <si>
    <t xml:space="preserve">NC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</si>
</sst>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2C4C9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2C4C9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EA9999"/>
        </patternFill>
      </fill>
    </dxf>
    <dxf>
      <fill>
        <patternFill>
          <bgColor rgb="FFFFE599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99CCFF"/>
      <rgbColor rgb="FFEA9999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6" ySplit="1" topLeftCell="G126" activePane="bottomRight" state="frozen"/>
      <selection pane="topLeft" activeCell="A1" activeCellId="0" sqref="A1"/>
      <selection pane="topRight" activeCell="G1" activeCellId="0" sqref="G1"/>
      <selection pane="bottomLeft" activeCell="A126" activeCellId="0" sqref="A126"/>
      <selection pane="bottomRight" activeCell="D177" activeCellId="0" sqref="D177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1" width="17.91"/>
    <col collapsed="false" customWidth="true" hidden="false" outlineLevel="0" max="3" min="2" style="1" width="12.63"/>
    <col collapsed="false" customWidth="true" hidden="false" outlineLevel="0" max="4" min="4" style="1" width="14.88"/>
    <col collapsed="false" customWidth="true" hidden="false" outlineLevel="0" max="5" min="5" style="1" width="12.13"/>
    <col collapsed="false" customWidth="true" hidden="false" outlineLevel="0" max="6" min="6" style="1" width="9.75"/>
    <col collapsed="false" customWidth="true" hidden="false" outlineLevel="0" max="8" min="7" style="1" width="7.38"/>
    <col collapsed="false" customWidth="true" hidden="false" outlineLevel="0" max="9" min="9" style="1" width="9.88"/>
    <col collapsed="false" customWidth="true" hidden="false" outlineLevel="0" max="10" min="10" style="1" width="10.13"/>
    <col collapsed="false" customWidth="true" hidden="false" outlineLevel="0" max="16" min="11" style="1" width="9.88"/>
    <col collapsed="false" customWidth="true" hidden="false" outlineLevel="0" max="23" min="17" style="1" width="9"/>
  </cols>
  <sheetData>
    <row r="1" customFormat="false" ht="114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5" t="s">
        <v>25</v>
      </c>
    </row>
    <row r="2" customFormat="false" ht="15.75" hidden="true" customHeight="false" outlineLevel="0" collapsed="false">
      <c r="A2" s="1" t="n">
        <v>1</v>
      </c>
      <c r="B2" s="1" t="n">
        <v>1</v>
      </c>
      <c r="C2" s="1" t="s">
        <v>26</v>
      </c>
      <c r="D2" s="1" t="s">
        <v>27</v>
      </c>
      <c r="E2" s="1" t="s">
        <v>28</v>
      </c>
      <c r="F2" s="1" t="s">
        <v>29</v>
      </c>
      <c r="G2" s="1" t="n">
        <v>211</v>
      </c>
      <c r="I2" s="1" t="n">
        <v>8553190</v>
      </c>
      <c r="J2" s="1" t="n">
        <v>4899997</v>
      </c>
      <c r="K2" s="1" t="n">
        <v>103295</v>
      </c>
      <c r="L2" s="1" t="n">
        <v>5111158</v>
      </c>
      <c r="M2" s="1" t="n">
        <v>5057225</v>
      </c>
      <c r="N2" s="1" t="n">
        <v>438678</v>
      </c>
      <c r="O2" s="1" t="n">
        <v>1778294</v>
      </c>
      <c r="P2" s="1" t="n">
        <v>1368897</v>
      </c>
      <c r="Q2" s="1" t="n">
        <v>0.572885321149185</v>
      </c>
      <c r="R2" s="1" t="n">
        <v>0.0120767807098872</v>
      </c>
      <c r="S2" s="1" t="n">
        <v>0.597573303060028</v>
      </c>
      <c r="T2" s="1" t="n">
        <v>0.59126770245955</v>
      </c>
      <c r="U2" s="1" t="n">
        <v>0.0512882328113838</v>
      </c>
      <c r="V2" s="1" t="n">
        <v>0.207910031228115</v>
      </c>
      <c r="W2" s="1" t="n">
        <v>0.160045199510358</v>
      </c>
      <c r="X2" s="8" t="s">
        <v>30</v>
      </c>
      <c r="Y2" s="8" t="s">
        <v>31</v>
      </c>
      <c r="Z2" s="9" t="s">
        <v>32</v>
      </c>
    </row>
    <row r="3" customFormat="false" ht="15.75" hidden="false" customHeight="false" outlineLevel="0" collapsed="false">
      <c r="A3" s="1" t="n">
        <v>2</v>
      </c>
      <c r="B3" s="1" t="n">
        <v>1</v>
      </c>
      <c r="C3" s="1" t="s">
        <v>33</v>
      </c>
      <c r="D3" s="1" t="s">
        <v>34</v>
      </c>
      <c r="E3" s="1" t="s">
        <v>35</v>
      </c>
      <c r="F3" s="1" t="s">
        <v>29</v>
      </c>
      <c r="G3" s="1" t="n">
        <v>65</v>
      </c>
      <c r="I3" s="1" t="n">
        <v>7130598</v>
      </c>
      <c r="J3" s="1" t="n">
        <v>3103874</v>
      </c>
      <c r="K3" s="1" t="n">
        <v>51595</v>
      </c>
      <c r="L3" s="1" t="n">
        <v>3388155</v>
      </c>
      <c r="M3" s="1" t="n">
        <v>3271812</v>
      </c>
      <c r="N3" s="1" t="n">
        <v>337913</v>
      </c>
      <c r="O3" s="1" t="n">
        <v>1341226</v>
      </c>
      <c r="P3" s="1" t="n">
        <v>2260303</v>
      </c>
      <c r="Q3" s="1" t="n">
        <v>0.435289438557608</v>
      </c>
      <c r="R3" s="1" t="n">
        <v>0.00723571851897975</v>
      </c>
      <c r="S3" s="1" t="n">
        <v>0.475157202804029</v>
      </c>
      <c r="T3" s="1" t="n">
        <v>0.458841179940308</v>
      </c>
      <c r="U3" s="1" t="n">
        <v>0.0473891530556063</v>
      </c>
      <c r="V3" s="1" t="n">
        <v>0.188094462764554</v>
      </c>
      <c r="W3" s="1" t="n">
        <v>0.316986457517308</v>
      </c>
      <c r="X3" s="8" t="s">
        <v>30</v>
      </c>
      <c r="Y3" s="8" t="s">
        <v>31</v>
      </c>
      <c r="Z3" s="9" t="s">
        <v>32</v>
      </c>
    </row>
    <row r="4" customFormat="false" ht="15.75" hidden="true" customHeight="false" outlineLevel="0" collapsed="false">
      <c r="A4" s="1" t="n">
        <v>3</v>
      </c>
      <c r="B4" s="1" t="n">
        <v>1</v>
      </c>
      <c r="C4" s="1" t="s">
        <v>36</v>
      </c>
      <c r="D4" s="1" t="s">
        <v>27</v>
      </c>
      <c r="E4" s="1" t="s">
        <v>35</v>
      </c>
      <c r="F4" s="1" t="s">
        <v>37</v>
      </c>
      <c r="G4" s="1" t="n">
        <v>25.2</v>
      </c>
      <c r="H4" s="1" t="s">
        <v>38</v>
      </c>
      <c r="I4" s="1" t="n">
        <v>9012206</v>
      </c>
      <c r="J4" s="1" t="n">
        <v>48770</v>
      </c>
      <c r="K4" s="1" t="n">
        <v>691</v>
      </c>
      <c r="L4" s="1" t="n">
        <v>2003001</v>
      </c>
      <c r="M4" s="1" t="n">
        <v>1026231</v>
      </c>
      <c r="N4" s="1" t="n">
        <v>81852</v>
      </c>
      <c r="O4" s="1" t="n">
        <v>3848</v>
      </c>
      <c r="P4" s="1" t="n">
        <v>7900394</v>
      </c>
      <c r="Q4" s="1" t="n">
        <v>0.005411549625031</v>
      </c>
      <c r="R4" s="1" t="n">
        <v>7.66737910784552E-005</v>
      </c>
      <c r="S4" s="1" t="n">
        <v>0.222254240526681</v>
      </c>
      <c r="T4" s="1" t="n">
        <v>0.113871231971395</v>
      </c>
      <c r="U4" s="1" t="n">
        <v>0.009082348983146</v>
      </c>
      <c r="V4" s="1" t="n">
        <v>0.000426976480564</v>
      </c>
      <c r="W4" s="1" t="n">
        <v>0.876632646879133</v>
      </c>
      <c r="X4" s="8" t="s">
        <v>39</v>
      </c>
      <c r="Y4" s="8" t="s">
        <v>30</v>
      </c>
      <c r="Z4" s="9" t="s">
        <v>40</v>
      </c>
    </row>
    <row r="5" customFormat="false" ht="36.75" hidden="false" customHeight="true" outlineLevel="0" collapsed="false">
      <c r="A5" s="1" t="n">
        <v>4</v>
      </c>
      <c r="B5" s="1" t="n">
        <v>1</v>
      </c>
      <c r="C5" s="1" t="s">
        <v>41</v>
      </c>
      <c r="D5" s="1" t="s">
        <v>34</v>
      </c>
      <c r="E5" s="1" t="s">
        <v>35</v>
      </c>
      <c r="F5" s="1" t="s">
        <v>42</v>
      </c>
      <c r="G5" s="1" t="n">
        <v>54.9</v>
      </c>
      <c r="H5" s="1" t="n">
        <v>9.46</v>
      </c>
      <c r="I5" s="1" t="n">
        <v>5397884</v>
      </c>
      <c r="J5" s="1" t="n">
        <v>1006223</v>
      </c>
      <c r="K5" s="1" t="n">
        <v>17934</v>
      </c>
      <c r="L5" s="1" t="n">
        <v>1199003</v>
      </c>
      <c r="M5" s="1" t="n">
        <v>1111580</v>
      </c>
      <c r="N5" s="1" t="n">
        <v>132138</v>
      </c>
      <c r="O5" s="1" t="n">
        <v>1513007</v>
      </c>
      <c r="P5" s="1" t="n">
        <v>2683254</v>
      </c>
      <c r="Q5" s="1" t="n">
        <v>0.186410637946277</v>
      </c>
      <c r="R5" s="1" t="n">
        <v>0.00332241300479966</v>
      </c>
      <c r="S5" s="1" t="n">
        <v>0.222124632541196</v>
      </c>
      <c r="T5" s="1" t="n">
        <v>0.205928841746136</v>
      </c>
      <c r="U5" s="1" t="n">
        <v>0.0244795923736042</v>
      </c>
      <c r="V5" s="1" t="n">
        <v>0.280296316112017</v>
      </c>
      <c r="W5" s="1" t="n">
        <v>0.49709367596636</v>
      </c>
      <c r="X5" s="8" t="s">
        <v>39</v>
      </c>
      <c r="Y5" s="8" t="s">
        <v>30</v>
      </c>
      <c r="Z5" s="9" t="s">
        <v>43</v>
      </c>
    </row>
    <row r="6" customFormat="false" ht="15.75" hidden="false" customHeight="false" outlineLevel="0" collapsed="false">
      <c r="A6" s="1" t="n">
        <v>4</v>
      </c>
      <c r="B6" s="1" t="n">
        <v>1</v>
      </c>
      <c r="C6" s="1" t="s">
        <v>41</v>
      </c>
      <c r="D6" s="1" t="s">
        <v>34</v>
      </c>
      <c r="E6" s="1" t="s">
        <v>35</v>
      </c>
      <c r="F6" s="1" t="s">
        <v>37</v>
      </c>
      <c r="I6" s="1" t="n">
        <v>7952225</v>
      </c>
      <c r="J6" s="1" t="n">
        <v>1478049</v>
      </c>
      <c r="K6" s="1" t="n">
        <v>26642</v>
      </c>
      <c r="L6" s="1" t="n">
        <v>1761579</v>
      </c>
      <c r="M6" s="1" t="n">
        <v>1633135</v>
      </c>
      <c r="N6" s="1" t="n">
        <v>192486</v>
      </c>
      <c r="O6" s="1" t="n">
        <v>2219294</v>
      </c>
      <c r="P6" s="1" t="n">
        <v>3968437</v>
      </c>
      <c r="Q6" s="1" t="n">
        <v>0.185866094080588</v>
      </c>
      <c r="R6" s="1" t="n">
        <v>0.00335025731792</v>
      </c>
      <c r="S6" s="1" t="n">
        <v>0.221520266340552</v>
      </c>
      <c r="T6" s="1" t="n">
        <v>0.20536830886953</v>
      </c>
      <c r="U6" s="1" t="n">
        <v>0.024205301032101</v>
      </c>
      <c r="V6" s="1" t="n">
        <v>0.279078371147698</v>
      </c>
      <c r="W6" s="1" t="n">
        <v>0.499034798436915</v>
      </c>
      <c r="X6" s="8" t="s">
        <v>39</v>
      </c>
      <c r="Y6" s="8" t="s">
        <v>30</v>
      </c>
      <c r="Z6" s="9" t="s">
        <v>43</v>
      </c>
    </row>
    <row r="7" customFormat="false" ht="15.75" hidden="true" customHeight="false" outlineLevel="0" collapsed="false">
      <c r="A7" s="1" t="n">
        <v>5</v>
      </c>
      <c r="B7" s="1" t="n">
        <v>1</v>
      </c>
      <c r="C7" s="1" t="s">
        <v>44</v>
      </c>
      <c r="D7" s="1" t="s">
        <v>27</v>
      </c>
      <c r="E7" s="1" t="s">
        <v>35</v>
      </c>
      <c r="F7" s="1" t="s">
        <v>37</v>
      </c>
      <c r="G7" s="1" t="n">
        <v>57.4</v>
      </c>
      <c r="H7" s="1" t="n">
        <v>21.8</v>
      </c>
      <c r="I7" s="1" t="n">
        <v>8423375</v>
      </c>
      <c r="J7" s="1" t="n">
        <v>52064</v>
      </c>
      <c r="K7" s="1" t="n">
        <v>878</v>
      </c>
      <c r="L7" s="1" t="n">
        <v>2408626</v>
      </c>
      <c r="M7" s="1" t="n">
        <v>1230784</v>
      </c>
      <c r="N7" s="1" t="n">
        <v>92353</v>
      </c>
      <c r="O7" s="1" t="n">
        <v>2774</v>
      </c>
      <c r="P7" s="1" t="n">
        <v>7097639</v>
      </c>
      <c r="Q7" s="1" t="n">
        <v>0.006180895424934</v>
      </c>
      <c r="R7" s="1" t="n">
        <v>0.000104233754285</v>
      </c>
      <c r="S7" s="1" t="n">
        <v>0.285945479098342</v>
      </c>
      <c r="T7" s="1" t="n">
        <v>0.14611530413878</v>
      </c>
      <c r="U7" s="1" t="n">
        <v>0.010963895113301</v>
      </c>
      <c r="V7" s="1" t="n">
        <v>0.000329321679256</v>
      </c>
      <c r="W7" s="1" t="n">
        <v>0.842612254589164</v>
      </c>
      <c r="X7" s="8" t="s">
        <v>39</v>
      </c>
      <c r="Y7" s="8" t="s">
        <v>30</v>
      </c>
      <c r="Z7" s="9" t="s">
        <v>40</v>
      </c>
    </row>
    <row r="8" customFormat="false" ht="15.75" hidden="true" customHeight="false" outlineLevel="0" collapsed="false">
      <c r="A8" s="1" t="n">
        <v>6</v>
      </c>
      <c r="B8" s="1" t="n">
        <v>1</v>
      </c>
      <c r="C8" s="1" t="s">
        <v>45</v>
      </c>
      <c r="D8" s="1" t="s">
        <v>27</v>
      </c>
      <c r="E8" s="1" t="s">
        <v>35</v>
      </c>
      <c r="F8" s="1" t="s">
        <v>37</v>
      </c>
      <c r="G8" s="1" t="n">
        <v>91.2</v>
      </c>
      <c r="H8" s="1" t="n">
        <v>18.8</v>
      </c>
      <c r="I8" s="1" t="n">
        <v>6579501</v>
      </c>
      <c r="J8" s="1" t="n">
        <v>630407</v>
      </c>
      <c r="K8" s="1" t="n">
        <v>16513</v>
      </c>
      <c r="L8" s="1" t="n">
        <v>2628822</v>
      </c>
      <c r="M8" s="1" t="n">
        <v>1637871</v>
      </c>
      <c r="N8" s="1" t="n">
        <v>124973</v>
      </c>
      <c r="O8" s="1" t="n">
        <v>161070</v>
      </c>
      <c r="P8" s="1" t="n">
        <v>4663720</v>
      </c>
      <c r="Q8" s="1" t="n">
        <v>0.095813801077012</v>
      </c>
      <c r="R8" s="1" t="n">
        <v>0.002509764798273</v>
      </c>
      <c r="S8" s="1" t="n">
        <v>0.399547321293819</v>
      </c>
      <c r="T8" s="1" t="n">
        <v>0.248935443584551</v>
      </c>
      <c r="U8" s="1" t="n">
        <v>0.018994297591869</v>
      </c>
      <c r="V8" s="1" t="n">
        <v>0.024480579910239</v>
      </c>
      <c r="W8" s="1" t="n">
        <v>0.708825790892045</v>
      </c>
      <c r="X8" s="8" t="s">
        <v>39</v>
      </c>
      <c r="Y8" s="8" t="s">
        <v>30</v>
      </c>
      <c r="Z8" s="9" t="s">
        <v>40</v>
      </c>
    </row>
    <row r="9" customFormat="false" ht="15.75" hidden="false" customHeight="false" outlineLevel="0" collapsed="false">
      <c r="A9" s="1" t="n">
        <v>7</v>
      </c>
      <c r="B9" s="1" t="n">
        <v>1</v>
      </c>
      <c r="C9" s="1" t="s">
        <v>46</v>
      </c>
      <c r="D9" s="1" t="s">
        <v>34</v>
      </c>
      <c r="E9" s="1" t="s">
        <v>35</v>
      </c>
      <c r="F9" s="1" t="s">
        <v>42</v>
      </c>
      <c r="G9" s="1" t="n">
        <v>57.2</v>
      </c>
      <c r="H9" s="1" t="n">
        <v>24.8</v>
      </c>
      <c r="I9" s="1" t="n">
        <v>9260847</v>
      </c>
      <c r="J9" s="1" t="n">
        <v>3900527</v>
      </c>
      <c r="K9" s="1" t="n">
        <v>86387</v>
      </c>
      <c r="L9" s="1" t="n">
        <v>3910208</v>
      </c>
      <c r="M9" s="1" t="n">
        <v>3948561</v>
      </c>
      <c r="N9" s="1" t="n">
        <v>261445</v>
      </c>
      <c r="O9" s="1" t="n">
        <v>1138492</v>
      </c>
      <c r="P9" s="1" t="n">
        <v>3969698</v>
      </c>
      <c r="Q9" s="1" t="n">
        <v>0.421184692933595</v>
      </c>
      <c r="R9" s="1" t="n">
        <v>0.00932819643818756</v>
      </c>
      <c r="S9" s="1" t="n">
        <v>0.422230061677944</v>
      </c>
      <c r="T9" s="1" t="n">
        <v>0.426371475524863</v>
      </c>
      <c r="U9" s="1" t="n">
        <v>0.0282312190234867</v>
      </c>
      <c r="V9" s="1" t="n">
        <v>0.122936055416961</v>
      </c>
      <c r="W9" s="1" t="n">
        <v>0.428653880147248</v>
      </c>
      <c r="X9" s="8" t="s">
        <v>39</v>
      </c>
      <c r="Y9" s="8" t="s">
        <v>30</v>
      </c>
      <c r="Z9" s="9" t="s">
        <v>40</v>
      </c>
    </row>
    <row r="10" customFormat="false" ht="15.75" hidden="true" customHeight="false" outlineLevel="0" collapsed="false">
      <c r="A10" s="1" t="n">
        <v>8</v>
      </c>
      <c r="B10" s="1" t="n">
        <v>1</v>
      </c>
      <c r="C10" s="1" t="s">
        <v>47</v>
      </c>
      <c r="D10" s="1" t="s">
        <v>27</v>
      </c>
      <c r="E10" s="1" t="s">
        <v>35</v>
      </c>
      <c r="F10" s="1" t="s">
        <v>37</v>
      </c>
      <c r="G10" s="1" t="n">
        <v>56.1</v>
      </c>
      <c r="H10" s="1" t="n">
        <v>5.4</v>
      </c>
      <c r="I10" s="1" t="n">
        <v>8975000</v>
      </c>
      <c r="J10" s="1" t="n">
        <v>925689</v>
      </c>
      <c r="K10" s="1" t="n">
        <v>19336</v>
      </c>
      <c r="L10" s="1" t="n">
        <v>2088585</v>
      </c>
      <c r="M10" s="1" t="n">
        <v>1516805</v>
      </c>
      <c r="N10" s="1" t="n">
        <v>123586</v>
      </c>
      <c r="O10" s="1" t="n">
        <v>314008</v>
      </c>
      <c r="P10" s="1" t="n">
        <v>7036561</v>
      </c>
      <c r="Q10" s="1" t="n">
        <v>0.103140835654596</v>
      </c>
      <c r="R10" s="1" t="n">
        <v>0.002154428969359</v>
      </c>
      <c r="S10" s="1" t="n">
        <v>0.232711420612813</v>
      </c>
      <c r="T10" s="1" t="n">
        <v>0.169003342618384</v>
      </c>
      <c r="U10" s="1" t="n">
        <v>0.013770027855153</v>
      </c>
      <c r="V10" s="1" t="n">
        <v>0.034986963788301</v>
      </c>
      <c r="W10" s="1" t="n">
        <v>0.784017938718663</v>
      </c>
      <c r="X10" s="8" t="s">
        <v>39</v>
      </c>
      <c r="Y10" s="8" t="s">
        <v>30</v>
      </c>
      <c r="Z10" s="9" t="s">
        <v>40</v>
      </c>
    </row>
    <row r="11" customFormat="false" ht="15.75" hidden="false" customHeight="false" outlineLevel="0" collapsed="false">
      <c r="A11" s="1" t="n">
        <v>9</v>
      </c>
      <c r="B11" s="1" t="n">
        <v>1</v>
      </c>
      <c r="C11" s="1" t="s">
        <v>48</v>
      </c>
      <c r="D11" s="1" t="s">
        <v>34</v>
      </c>
      <c r="E11" s="1" t="s">
        <v>35</v>
      </c>
      <c r="F11" s="1" t="s">
        <v>37</v>
      </c>
      <c r="H11" s="1" t="n">
        <v>9.1</v>
      </c>
      <c r="I11" s="1" t="n">
        <v>7909624</v>
      </c>
      <c r="J11" s="1" t="n">
        <v>2307235</v>
      </c>
      <c r="K11" s="1" t="n">
        <v>50797</v>
      </c>
      <c r="L11" s="1" t="n">
        <v>2874672</v>
      </c>
      <c r="M11" s="1" t="n">
        <v>2616352</v>
      </c>
      <c r="N11" s="1" t="n">
        <v>188801</v>
      </c>
      <c r="O11" s="1" t="n">
        <v>1402449</v>
      </c>
      <c r="P11" s="1" t="n">
        <v>3751171</v>
      </c>
      <c r="Q11" s="1" t="n">
        <v>0.291699706585294</v>
      </c>
      <c r="R11" s="1" t="n">
        <v>0.006422176325954</v>
      </c>
      <c r="S11" s="1" t="n">
        <v>0.363439779185458</v>
      </c>
      <c r="T11" s="1" t="n">
        <v>0.330780831048353</v>
      </c>
      <c r="U11" s="1" t="n">
        <v>0.023869781926423</v>
      </c>
      <c r="V11" s="1" t="n">
        <v>0.177309186884231</v>
      </c>
      <c r="W11" s="1" t="n">
        <v>0.474254022694378</v>
      </c>
      <c r="X11" s="8" t="s">
        <v>39</v>
      </c>
      <c r="Y11" s="8" t="s">
        <v>49</v>
      </c>
      <c r="Z11" s="9" t="s">
        <v>40</v>
      </c>
    </row>
    <row r="12" customFormat="false" ht="15.75" hidden="false" customHeight="false" outlineLevel="0" collapsed="false">
      <c r="A12" s="1" t="n">
        <v>9</v>
      </c>
      <c r="B12" s="1" t="n">
        <v>1</v>
      </c>
      <c r="C12" s="1" t="s">
        <v>48</v>
      </c>
      <c r="D12" s="1" t="s">
        <v>34</v>
      </c>
      <c r="E12" s="1" t="s">
        <v>35</v>
      </c>
      <c r="F12" s="1" t="s">
        <v>42</v>
      </c>
      <c r="G12" s="1" t="n">
        <v>35.7</v>
      </c>
      <c r="H12" s="1" t="n">
        <v>9.1</v>
      </c>
      <c r="I12" s="1" t="n">
        <v>9358885</v>
      </c>
      <c r="J12" s="1" t="n">
        <v>2750156</v>
      </c>
      <c r="K12" s="1" t="n">
        <v>60946</v>
      </c>
      <c r="L12" s="1" t="n">
        <v>3431934</v>
      </c>
      <c r="M12" s="1" t="n">
        <v>3121518</v>
      </c>
      <c r="N12" s="1" t="n">
        <v>223883</v>
      </c>
      <c r="O12" s="1" t="n">
        <v>1675456</v>
      </c>
      <c r="P12" s="1" t="n">
        <v>4396387</v>
      </c>
      <c r="Q12" s="1" t="n">
        <v>0.293855090643811</v>
      </c>
      <c r="R12" s="1" t="n">
        <v>0.00651210053334345</v>
      </c>
      <c r="S12" s="1" t="n">
        <v>0.366703298523275</v>
      </c>
      <c r="T12" s="1" t="n">
        <v>0.333535244850215</v>
      </c>
      <c r="U12" s="1" t="n">
        <v>0.0239219736111727</v>
      </c>
      <c r="V12" s="1" t="n">
        <v>0.179023035329529</v>
      </c>
      <c r="W12" s="1" t="n">
        <v>0.469755424925085</v>
      </c>
      <c r="X12" s="8" t="s">
        <v>39</v>
      </c>
      <c r="Y12" s="8" t="s">
        <v>49</v>
      </c>
      <c r="Z12" s="9" t="s">
        <v>40</v>
      </c>
    </row>
    <row r="13" customFormat="false" ht="15.75" hidden="false" customHeight="false" outlineLevel="0" collapsed="false">
      <c r="A13" s="1" t="n">
        <v>10</v>
      </c>
      <c r="B13" s="1" t="n">
        <v>1</v>
      </c>
      <c r="C13" s="1" t="s">
        <v>50</v>
      </c>
      <c r="D13" s="1" t="s">
        <v>34</v>
      </c>
      <c r="E13" s="1" t="s">
        <v>35</v>
      </c>
      <c r="F13" s="1" t="s">
        <v>42</v>
      </c>
      <c r="G13" s="1" t="n">
        <v>20.7</v>
      </c>
      <c r="H13" s="1" t="n">
        <v>5.78</v>
      </c>
      <c r="I13" s="1" t="n">
        <v>8928362</v>
      </c>
      <c r="J13" s="1" t="n">
        <v>1653776</v>
      </c>
      <c r="K13" s="1" t="n">
        <v>26498</v>
      </c>
      <c r="L13" s="1" t="n">
        <v>1847788</v>
      </c>
      <c r="M13" s="1" t="n">
        <v>1764031</v>
      </c>
      <c r="N13" s="1" t="n">
        <v>224701</v>
      </c>
      <c r="O13" s="1" t="n">
        <v>1166011</v>
      </c>
      <c r="P13" s="1" t="n">
        <v>5827433</v>
      </c>
      <c r="Q13" s="1" t="n">
        <v>0.185227256690533</v>
      </c>
      <c r="R13" s="1" t="n">
        <v>0.00296784561378672</v>
      </c>
      <c r="S13" s="1" t="n">
        <v>0.206957110385981</v>
      </c>
      <c r="T13" s="1" t="n">
        <v>0.19757610634515</v>
      </c>
      <c r="U13" s="1" t="n">
        <v>0.025167102319552</v>
      </c>
      <c r="V13" s="1" t="n">
        <v>0.130596295266702</v>
      </c>
      <c r="W13" s="1" t="n">
        <v>0.652687805445164</v>
      </c>
      <c r="X13" s="8" t="s">
        <v>39</v>
      </c>
      <c r="Y13" s="8" t="s">
        <v>49</v>
      </c>
      <c r="Z13" s="9" t="s">
        <v>40</v>
      </c>
    </row>
    <row r="14" customFormat="false" ht="15.75" hidden="false" customHeight="false" outlineLevel="0" collapsed="false">
      <c r="A14" s="1" t="n">
        <v>10</v>
      </c>
      <c r="B14" s="1" t="n">
        <v>1</v>
      </c>
      <c r="C14" s="1" t="s">
        <v>50</v>
      </c>
      <c r="D14" s="1" t="s">
        <v>34</v>
      </c>
      <c r="E14" s="1" t="s">
        <v>35</v>
      </c>
      <c r="F14" s="1" t="s">
        <v>37</v>
      </c>
      <c r="G14" s="1" t="n">
        <v>20.7</v>
      </c>
      <c r="H14" s="1" t="n">
        <v>5.78</v>
      </c>
      <c r="I14" s="1" t="n">
        <v>12535680</v>
      </c>
      <c r="J14" s="1" t="n">
        <v>2317107</v>
      </c>
      <c r="K14" s="1" t="n">
        <v>36928</v>
      </c>
      <c r="L14" s="1" t="n">
        <v>2584085</v>
      </c>
      <c r="M14" s="1" t="n">
        <v>2469060</v>
      </c>
      <c r="N14" s="1" t="n">
        <v>314187</v>
      </c>
      <c r="O14" s="1" t="n">
        <v>1636540</v>
      </c>
      <c r="P14" s="1" t="n">
        <v>8191097</v>
      </c>
      <c r="Q14" s="1" t="n">
        <v>0.184840949992342</v>
      </c>
      <c r="R14" s="1" t="n">
        <v>0.002945831418798</v>
      </c>
      <c r="S14" s="1" t="n">
        <v>0.206138398555164</v>
      </c>
      <c r="T14" s="1" t="n">
        <v>0.196962589983152</v>
      </c>
      <c r="U14" s="1" t="n">
        <v>0.025063418976873</v>
      </c>
      <c r="V14" s="1" t="n">
        <v>0.130550556491551</v>
      </c>
      <c r="W14" s="1" t="n">
        <v>0.653422630443662</v>
      </c>
      <c r="X14" s="8" t="s">
        <v>39</v>
      </c>
      <c r="Y14" s="8" t="s">
        <v>49</v>
      </c>
      <c r="Z14" s="9" t="s">
        <v>40</v>
      </c>
    </row>
    <row r="15" customFormat="false" ht="15.75" hidden="false" customHeight="false" outlineLevel="0" collapsed="false">
      <c r="A15" s="1" t="n">
        <v>11</v>
      </c>
      <c r="B15" s="1" t="n">
        <v>1</v>
      </c>
      <c r="C15" s="1" t="s">
        <v>51</v>
      </c>
      <c r="D15" s="1" t="s">
        <v>34</v>
      </c>
      <c r="E15" s="1" t="s">
        <v>35</v>
      </c>
      <c r="F15" s="1" t="s">
        <v>52</v>
      </c>
      <c r="G15" s="1" t="n">
        <v>47.3</v>
      </c>
      <c r="H15" s="1" t="n">
        <v>25</v>
      </c>
      <c r="I15" s="1" t="n">
        <v>6702616</v>
      </c>
      <c r="J15" s="1" t="n">
        <v>1819930</v>
      </c>
      <c r="K15" s="1" t="n">
        <v>45532</v>
      </c>
      <c r="L15" s="1" t="n">
        <v>2205020</v>
      </c>
      <c r="M15" s="1" t="n">
        <v>2035241</v>
      </c>
      <c r="N15" s="1" t="n">
        <v>202188</v>
      </c>
      <c r="O15" s="1" t="n">
        <v>585317</v>
      </c>
      <c r="P15" s="1" t="n">
        <v>3919482</v>
      </c>
      <c r="Q15" s="1" t="n">
        <v>0.271525326827615</v>
      </c>
      <c r="R15" s="1" t="n">
        <v>0.00679316851808309</v>
      </c>
      <c r="S15" s="1" t="n">
        <v>0.32897901356724</v>
      </c>
      <c r="T15" s="1" t="n">
        <v>0.303648754456469</v>
      </c>
      <c r="U15" s="1" t="n">
        <v>0.0301655353670865</v>
      </c>
      <c r="V15" s="1" t="n">
        <v>0.08732664977376</v>
      </c>
      <c r="W15" s="1" t="n">
        <v>0.584768991689215</v>
      </c>
      <c r="X15" s="8" t="s">
        <v>53</v>
      </c>
      <c r="Y15" s="8" t="s">
        <v>49</v>
      </c>
      <c r="Z15" s="9" t="s">
        <v>54</v>
      </c>
    </row>
    <row r="16" customFormat="false" ht="15.75" hidden="false" customHeight="false" outlineLevel="0" collapsed="false">
      <c r="A16" s="1" t="n">
        <v>11</v>
      </c>
      <c r="B16" s="1" t="n">
        <v>1</v>
      </c>
      <c r="C16" s="1" t="s">
        <v>51</v>
      </c>
      <c r="D16" s="1" t="s">
        <v>34</v>
      </c>
      <c r="E16" s="1" t="s">
        <v>35</v>
      </c>
      <c r="F16" s="1" t="s">
        <v>37</v>
      </c>
      <c r="H16" s="1" t="n">
        <v>25</v>
      </c>
      <c r="I16" s="1" t="n">
        <v>9646576</v>
      </c>
      <c r="J16" s="1" t="n">
        <v>3891053</v>
      </c>
      <c r="K16" s="1" t="n">
        <v>97642</v>
      </c>
      <c r="L16" s="1" t="n">
        <v>4729683</v>
      </c>
      <c r="M16" s="1" t="n">
        <v>4359189</v>
      </c>
      <c r="N16" s="1" t="n">
        <v>407134</v>
      </c>
      <c r="O16" s="1" t="n">
        <v>1235175</v>
      </c>
      <c r="P16" s="1" t="n">
        <v>3725506</v>
      </c>
      <c r="Q16" s="1" t="n">
        <v>0.40336104748462</v>
      </c>
      <c r="R16" s="1" t="n">
        <v>0.010121933419692</v>
      </c>
      <c r="S16" s="1" t="n">
        <v>0.49029655703744</v>
      </c>
      <c r="T16" s="1" t="n">
        <v>0.451889768970876</v>
      </c>
      <c r="U16" s="1" t="n">
        <v>0.042205026944275</v>
      </c>
      <c r="V16" s="1" t="n">
        <v>0.128042841314887</v>
      </c>
      <c r="W16" s="1" t="n">
        <v>0.386199828830458</v>
      </c>
      <c r="X16" s="8" t="s">
        <v>53</v>
      </c>
      <c r="Y16" s="8" t="s">
        <v>49</v>
      </c>
      <c r="Z16" s="9" t="s">
        <v>54</v>
      </c>
    </row>
    <row r="17" customFormat="false" ht="15.75" hidden="false" customHeight="false" outlineLevel="0" collapsed="false">
      <c r="A17" s="1" t="n">
        <v>12</v>
      </c>
      <c r="B17" s="1" t="n">
        <v>1</v>
      </c>
      <c r="C17" s="1" t="s">
        <v>55</v>
      </c>
      <c r="D17" s="1" t="s">
        <v>34</v>
      </c>
      <c r="E17" s="1" t="s">
        <v>35</v>
      </c>
      <c r="F17" s="1" t="s">
        <v>52</v>
      </c>
      <c r="G17" s="1" t="n">
        <v>95.1</v>
      </c>
      <c r="H17" s="1" t="n">
        <v>36.8</v>
      </c>
      <c r="I17" s="1" t="n">
        <v>7142563</v>
      </c>
      <c r="J17" s="1" t="n">
        <v>1841758</v>
      </c>
      <c r="K17" s="1" t="n">
        <v>48163</v>
      </c>
      <c r="L17" s="1" t="n">
        <v>2706267</v>
      </c>
      <c r="M17" s="1" t="n">
        <v>2298094</v>
      </c>
      <c r="N17" s="1" t="n">
        <v>252096</v>
      </c>
      <c r="O17" s="1" t="n">
        <v>782393</v>
      </c>
      <c r="P17" s="1" t="n">
        <v>3861627</v>
      </c>
      <c r="Q17" s="1" t="n">
        <v>0.257856738540493</v>
      </c>
      <c r="R17" s="1" t="n">
        <v>0.00674309768076249</v>
      </c>
      <c r="S17" s="1" t="n">
        <v>0.378892982813032</v>
      </c>
      <c r="T17" s="1" t="n">
        <v>0.321746409517144</v>
      </c>
      <c r="U17" s="1" t="n">
        <v>0.035294893443712</v>
      </c>
      <c r="V17" s="1" t="n">
        <v>0.10953953083788</v>
      </c>
      <c r="W17" s="1" t="n">
        <v>0.540650043968811</v>
      </c>
      <c r="X17" s="8" t="s">
        <v>53</v>
      </c>
      <c r="Y17" s="8" t="s">
        <v>49</v>
      </c>
      <c r="Z17" s="9" t="s">
        <v>54</v>
      </c>
    </row>
    <row r="18" customFormat="false" ht="15.75" hidden="false" customHeight="false" outlineLevel="0" collapsed="false">
      <c r="A18" s="1" t="n">
        <v>12</v>
      </c>
      <c r="B18" s="1" t="n">
        <v>1</v>
      </c>
      <c r="C18" s="1" t="s">
        <v>55</v>
      </c>
      <c r="D18" s="1" t="s">
        <v>34</v>
      </c>
      <c r="E18" s="1" t="s">
        <v>35</v>
      </c>
      <c r="F18" s="1" t="s">
        <v>37</v>
      </c>
      <c r="H18" s="1" t="n">
        <v>36.8</v>
      </c>
      <c r="I18" s="1" t="n">
        <v>12096785</v>
      </c>
      <c r="J18" s="1" t="n">
        <v>4637279</v>
      </c>
      <c r="K18" s="1" t="n">
        <v>121960</v>
      </c>
      <c r="L18" s="1" t="n">
        <v>6866963</v>
      </c>
      <c r="M18" s="1" t="n">
        <v>5813101</v>
      </c>
      <c r="N18" s="1" t="n">
        <v>600219</v>
      </c>
      <c r="O18" s="1" t="n">
        <v>1950187</v>
      </c>
      <c r="P18" s="1" t="n">
        <v>3856435</v>
      </c>
      <c r="Q18" s="1" t="n">
        <v>0.383348054875738</v>
      </c>
      <c r="R18" s="1" t="n">
        <v>0.010082017660064</v>
      </c>
      <c r="S18" s="1" t="n">
        <v>0.567668434216199</v>
      </c>
      <c r="T18" s="1" t="n">
        <v>0.480549253376</v>
      </c>
      <c r="U18" s="1" t="n">
        <v>0.049618059674533</v>
      </c>
      <c r="V18" s="1" t="n">
        <v>0.161215314647652</v>
      </c>
      <c r="W18" s="1" t="n">
        <v>0.318798341873481</v>
      </c>
      <c r="X18" s="8" t="s">
        <v>53</v>
      </c>
      <c r="Y18" s="8" t="s">
        <v>49</v>
      </c>
      <c r="Z18" s="9" t="s">
        <v>54</v>
      </c>
    </row>
    <row r="19" customFormat="false" ht="15.75" hidden="false" customHeight="false" outlineLevel="0" collapsed="false">
      <c r="A19" s="1" t="n">
        <v>13</v>
      </c>
      <c r="B19" s="1" t="n">
        <v>1</v>
      </c>
      <c r="C19" s="1" t="s">
        <v>56</v>
      </c>
      <c r="D19" s="1" t="s">
        <v>34</v>
      </c>
      <c r="E19" s="1" t="s">
        <v>35</v>
      </c>
      <c r="F19" s="1" t="s">
        <v>52</v>
      </c>
      <c r="G19" s="1" t="n">
        <v>247.7</v>
      </c>
      <c r="H19" s="1" t="n">
        <v>23.2</v>
      </c>
      <c r="I19" s="1" t="n">
        <v>6760420</v>
      </c>
      <c r="J19" s="1" t="n">
        <v>2046802</v>
      </c>
      <c r="K19" s="1" t="n">
        <v>41282</v>
      </c>
      <c r="L19" s="1" t="n">
        <v>2312530</v>
      </c>
      <c r="M19" s="1" t="n">
        <v>2200307</v>
      </c>
      <c r="N19" s="1" t="n">
        <v>189652</v>
      </c>
      <c r="O19" s="1" t="n">
        <v>939976</v>
      </c>
      <c r="P19" s="1" t="n">
        <v>3458424</v>
      </c>
      <c r="Q19" s="1" t="n">
        <v>0.302762550255753</v>
      </c>
      <c r="R19" s="1" t="n">
        <v>0.00610642534043743</v>
      </c>
      <c r="S19" s="1" t="n">
        <v>0.3420689838797</v>
      </c>
      <c r="T19" s="1" t="n">
        <v>0.325468979737945</v>
      </c>
      <c r="U19" s="1" t="n">
        <v>0.0280532866301206</v>
      </c>
      <c r="V19" s="1" t="n">
        <v>0.139041065495931</v>
      </c>
      <c r="W19" s="1" t="n">
        <v>0.511569399534348</v>
      </c>
      <c r="X19" s="8" t="s">
        <v>53</v>
      </c>
      <c r="Y19" s="8" t="s">
        <v>57</v>
      </c>
      <c r="Z19" s="9" t="s">
        <v>54</v>
      </c>
    </row>
    <row r="20" customFormat="false" ht="15.75" hidden="false" customHeight="false" outlineLevel="0" collapsed="false">
      <c r="A20" s="1" t="n">
        <v>13</v>
      </c>
      <c r="B20" s="1" t="n">
        <v>1</v>
      </c>
      <c r="C20" s="1" t="s">
        <v>56</v>
      </c>
      <c r="D20" s="1" t="s">
        <v>34</v>
      </c>
      <c r="E20" s="1" t="s">
        <v>35</v>
      </c>
      <c r="F20" s="1" t="s">
        <v>37</v>
      </c>
      <c r="H20" s="1" t="n">
        <v>23.2</v>
      </c>
      <c r="I20" s="1" t="n">
        <v>8099410</v>
      </c>
      <c r="J20" s="1" t="n">
        <v>3646169</v>
      </c>
      <c r="K20" s="1" t="n">
        <v>73777</v>
      </c>
      <c r="L20" s="1" t="n">
        <v>4123248</v>
      </c>
      <c r="M20" s="1" t="n">
        <v>3921597</v>
      </c>
      <c r="N20" s="1" t="n">
        <v>323040</v>
      </c>
      <c r="O20" s="1" t="n">
        <v>1628083</v>
      </c>
      <c r="P20" s="1" t="n">
        <v>2273749</v>
      </c>
      <c r="Q20" s="1" t="n">
        <v>0.450177111666158</v>
      </c>
      <c r="R20" s="1" t="n">
        <v>0.009108935095272</v>
      </c>
      <c r="S20" s="1" t="n">
        <v>0.509080044101978</v>
      </c>
      <c r="T20" s="1" t="n">
        <v>0.484183045431704</v>
      </c>
      <c r="U20" s="1" t="n">
        <v>0.039884386640508</v>
      </c>
      <c r="V20" s="1" t="n">
        <v>0.201012542888926</v>
      </c>
      <c r="W20" s="1" t="n">
        <v>0.280730201335653</v>
      </c>
      <c r="X20" s="8" t="s">
        <v>53</v>
      </c>
      <c r="Y20" s="8" t="s">
        <v>57</v>
      </c>
      <c r="Z20" s="9" t="s">
        <v>54</v>
      </c>
    </row>
    <row r="21" customFormat="false" ht="15.75" hidden="true" customHeight="false" outlineLevel="0" collapsed="false">
      <c r="A21" s="1" t="n">
        <v>14</v>
      </c>
      <c r="B21" s="1" t="n">
        <v>1</v>
      </c>
      <c r="C21" s="1" t="s">
        <v>58</v>
      </c>
      <c r="D21" s="1" t="s">
        <v>27</v>
      </c>
      <c r="E21" s="1" t="s">
        <v>35</v>
      </c>
      <c r="F21" s="1" t="s">
        <v>59</v>
      </c>
      <c r="G21" s="1" t="n">
        <v>452.4</v>
      </c>
      <c r="H21" s="1" t="n">
        <v>5.62</v>
      </c>
      <c r="I21" s="1" t="n">
        <v>7391130</v>
      </c>
      <c r="J21" s="1" t="n">
        <v>119725</v>
      </c>
      <c r="K21" s="1" t="n">
        <v>2335</v>
      </c>
      <c r="L21" s="1" t="n">
        <v>278576</v>
      </c>
      <c r="M21" s="1" t="n">
        <v>200318</v>
      </c>
      <c r="N21" s="1" t="n">
        <v>27548</v>
      </c>
      <c r="O21" s="1" t="n">
        <v>180286</v>
      </c>
      <c r="P21" s="1" t="n">
        <v>6993479</v>
      </c>
      <c r="Q21" s="1" t="n">
        <v>0.0161984703286236</v>
      </c>
      <c r="R21" s="1" t="n">
        <v>0.000315919216682699</v>
      </c>
      <c r="S21" s="1" t="n">
        <v>0.0376905831719913</v>
      </c>
      <c r="T21" s="1" t="n">
        <v>0.0271024863586488</v>
      </c>
      <c r="U21" s="1" t="n">
        <v>0.00372717027031049</v>
      </c>
      <c r="V21" s="1" t="n">
        <v>0.0243922106633221</v>
      </c>
      <c r="W21" s="1" t="n">
        <v>0.946198889750282</v>
      </c>
      <c r="X21" s="8" t="s">
        <v>60</v>
      </c>
      <c r="Y21" s="8" t="s">
        <v>57</v>
      </c>
      <c r="Z21" s="9" t="s">
        <v>61</v>
      </c>
    </row>
    <row r="22" customFormat="false" ht="15.75" hidden="true" customHeight="false" outlineLevel="0" collapsed="false">
      <c r="A22" s="1" t="n">
        <v>15</v>
      </c>
      <c r="B22" s="1" t="n">
        <v>1</v>
      </c>
      <c r="C22" s="1" t="s">
        <v>62</v>
      </c>
      <c r="D22" s="1" t="s">
        <v>27</v>
      </c>
      <c r="E22" s="1" t="s">
        <v>35</v>
      </c>
      <c r="F22" s="1" t="s">
        <v>63</v>
      </c>
      <c r="G22" s="1" t="n">
        <v>147.2</v>
      </c>
      <c r="H22" s="1" t="s">
        <v>38</v>
      </c>
      <c r="I22" s="1" t="n">
        <v>1757740</v>
      </c>
      <c r="J22" s="1" t="n">
        <v>20245</v>
      </c>
      <c r="K22" s="1" t="n">
        <v>390</v>
      </c>
      <c r="L22" s="1" t="n">
        <v>716463</v>
      </c>
      <c r="M22" s="1" t="n">
        <v>368549</v>
      </c>
      <c r="N22" s="1" t="n">
        <v>22875</v>
      </c>
      <c r="O22" s="1" t="n">
        <v>12112</v>
      </c>
      <c r="P22" s="1" t="n">
        <v>1354542</v>
      </c>
      <c r="Q22" s="1" t="n">
        <v>0.0115176305938307</v>
      </c>
      <c r="R22" s="1" t="n">
        <v>0.000221875817811508</v>
      </c>
      <c r="S22" s="1" t="n">
        <v>0.407604651427401</v>
      </c>
      <c r="T22" s="1" t="n">
        <v>0.209672078919522</v>
      </c>
      <c r="U22" s="1" t="n">
        <v>0.013013870083175</v>
      </c>
      <c r="V22" s="1" t="n">
        <v>0.00689066642393073</v>
      </c>
      <c r="W22" s="1" t="n">
        <v>0.770615676948809</v>
      </c>
      <c r="X22" s="8" t="s">
        <v>64</v>
      </c>
      <c r="Y22" s="8" t="s">
        <v>57</v>
      </c>
      <c r="Z22" s="9" t="s">
        <v>65</v>
      </c>
    </row>
    <row r="23" customFormat="false" ht="15.75" hidden="true" customHeight="false" outlineLevel="0" collapsed="false">
      <c r="A23" s="1" t="n">
        <v>16</v>
      </c>
      <c r="C23" s="1" t="s">
        <v>66</v>
      </c>
      <c r="E23" s="1" t="s">
        <v>35</v>
      </c>
      <c r="G23" s="1" t="n">
        <v>47.7</v>
      </c>
      <c r="H23" s="1" t="n">
        <v>15.8</v>
      </c>
      <c r="X23" s="8" t="s">
        <v>67</v>
      </c>
      <c r="Y23" s="8" t="s">
        <v>57</v>
      </c>
      <c r="Z23" s="9" t="s">
        <v>68</v>
      </c>
    </row>
    <row r="24" customFormat="false" ht="15.75" hidden="false" customHeight="false" outlineLevel="0" collapsed="false">
      <c r="A24" s="1" t="n">
        <v>16</v>
      </c>
      <c r="B24" s="1" t="n">
        <v>1</v>
      </c>
      <c r="C24" s="1" t="s">
        <v>66</v>
      </c>
      <c r="D24" s="1" t="s">
        <v>34</v>
      </c>
      <c r="E24" s="1" t="s">
        <v>35</v>
      </c>
      <c r="F24" s="1" t="s">
        <v>69</v>
      </c>
      <c r="H24" s="1" t="n">
        <f aca="false">(9.9+8)/2</f>
        <v>8.95</v>
      </c>
      <c r="I24" s="1" t="n">
        <v>13416080</v>
      </c>
      <c r="J24" s="1" t="n">
        <v>4754404</v>
      </c>
      <c r="K24" s="1" t="n">
        <v>78321</v>
      </c>
      <c r="L24" s="1" t="n">
        <v>5263237</v>
      </c>
      <c r="M24" s="1" t="n">
        <v>5047981</v>
      </c>
      <c r="N24" s="1" t="n">
        <v>358599</v>
      </c>
      <c r="O24" s="1" t="n">
        <v>1426643</v>
      </c>
      <c r="P24" s="1" t="n">
        <v>6669381</v>
      </c>
      <c r="Q24" s="1" t="n">
        <v>0.354381011442985</v>
      </c>
      <c r="R24" s="1" t="n">
        <v>0.00583784533187</v>
      </c>
      <c r="S24" s="1" t="n">
        <v>0.392308110863978</v>
      </c>
      <c r="T24" s="1" t="n">
        <v>0.376263483819417</v>
      </c>
      <c r="U24" s="1" t="n">
        <v>0.026729044549526</v>
      </c>
      <c r="V24" s="1" t="n">
        <v>0.106338289574898</v>
      </c>
      <c r="W24" s="1" t="n">
        <v>0.497118457850579</v>
      </c>
      <c r="X24" s="8" t="s">
        <v>70</v>
      </c>
      <c r="Y24" s="8" t="s">
        <v>71</v>
      </c>
      <c r="Z24" s="9" t="s">
        <v>72</v>
      </c>
    </row>
    <row r="25" customFormat="false" ht="15.75" hidden="true" customHeight="false" outlineLevel="0" collapsed="false">
      <c r="A25" s="1" t="n">
        <v>17</v>
      </c>
      <c r="B25" s="1" t="n">
        <v>1</v>
      </c>
      <c r="C25" s="1" t="s">
        <v>73</v>
      </c>
      <c r="D25" s="1" t="s">
        <v>27</v>
      </c>
      <c r="E25" s="1" t="s">
        <v>35</v>
      </c>
      <c r="F25" s="1" t="s">
        <v>74</v>
      </c>
      <c r="G25" s="1" t="n">
        <v>105.3</v>
      </c>
      <c r="H25" s="1" t="s">
        <v>38</v>
      </c>
      <c r="I25" s="1" t="n">
        <v>9040507</v>
      </c>
      <c r="J25" s="1" t="n">
        <v>930610</v>
      </c>
      <c r="K25" s="1" t="n">
        <v>16667</v>
      </c>
      <c r="L25" s="1" t="n">
        <v>1550489</v>
      </c>
      <c r="M25" s="1" t="n">
        <v>1248883</v>
      </c>
      <c r="N25" s="1" t="n">
        <v>143479</v>
      </c>
      <c r="O25" s="1" t="n">
        <v>1145606</v>
      </c>
      <c r="P25" s="1" t="n">
        <v>6549027</v>
      </c>
      <c r="Q25" s="1" t="n">
        <v>0.102937810899322</v>
      </c>
      <c r="R25" s="1" t="n">
        <v>0.00184359129416083</v>
      </c>
      <c r="S25" s="1" t="n">
        <v>0.171504651232503</v>
      </c>
      <c r="T25" s="1" t="n">
        <v>0.138143026712993</v>
      </c>
      <c r="U25" s="1" t="n">
        <v>0.01587068070408</v>
      </c>
      <c r="V25" s="1" t="n">
        <v>0.126719220503894</v>
      </c>
      <c r="W25" s="1" t="n">
        <v>0.72440926156022</v>
      </c>
      <c r="X25" s="8" t="s">
        <v>64</v>
      </c>
      <c r="Y25" s="8" t="s">
        <v>57</v>
      </c>
      <c r="Z25" s="9" t="s">
        <v>65</v>
      </c>
    </row>
    <row r="26" customFormat="false" ht="15.75" hidden="true" customHeight="false" outlineLevel="0" collapsed="false">
      <c r="A26" s="1" t="n">
        <v>17</v>
      </c>
      <c r="C26" s="1" t="s">
        <v>73</v>
      </c>
      <c r="E26" s="1" t="s">
        <v>35</v>
      </c>
      <c r="H26" s="1" t="n">
        <v>13.5</v>
      </c>
      <c r="X26" s="10"/>
      <c r="Y26" s="8" t="s">
        <v>75</v>
      </c>
      <c r="Z26" s="10"/>
    </row>
    <row r="27" customFormat="false" ht="15.75" hidden="false" customHeight="false" outlineLevel="0" collapsed="false">
      <c r="A27" s="1" t="n">
        <v>18</v>
      </c>
      <c r="B27" s="1" t="n">
        <v>1</v>
      </c>
      <c r="C27" s="1" t="s">
        <v>76</v>
      </c>
      <c r="D27" s="1" t="s">
        <v>34</v>
      </c>
      <c r="E27" s="1" t="s">
        <v>35</v>
      </c>
      <c r="F27" s="1" t="s">
        <v>59</v>
      </c>
      <c r="G27" s="1" t="n">
        <v>30</v>
      </c>
      <c r="H27" s="1" t="n">
        <v>4.6</v>
      </c>
      <c r="I27" s="1" t="n">
        <v>7451971</v>
      </c>
      <c r="J27" s="1" t="n">
        <v>2698964</v>
      </c>
      <c r="K27" s="1" t="n">
        <v>50385</v>
      </c>
      <c r="L27" s="1" t="n">
        <v>3148579</v>
      </c>
      <c r="M27" s="1" t="n">
        <v>2948964</v>
      </c>
      <c r="N27" s="1" t="n">
        <v>362333</v>
      </c>
      <c r="O27" s="1" t="n">
        <v>1444827</v>
      </c>
      <c r="P27" s="1" t="n">
        <v>2792936</v>
      </c>
      <c r="Q27" s="1" t="n">
        <v>0.362181226953245</v>
      </c>
      <c r="R27" s="1" t="n">
        <v>0.00676129845379162</v>
      </c>
      <c r="S27" s="1" t="n">
        <v>0.422516271198586</v>
      </c>
      <c r="T27" s="1" t="n">
        <v>0.395729398302811</v>
      </c>
      <c r="U27" s="1" t="n">
        <v>0.0486224382784098</v>
      </c>
      <c r="V27" s="1" t="n">
        <v>0.19388521506592</v>
      </c>
      <c r="W27" s="1" t="n">
        <v>0.374791581985491</v>
      </c>
      <c r="X27" s="8" t="s">
        <v>60</v>
      </c>
      <c r="Y27" s="8" t="s">
        <v>77</v>
      </c>
      <c r="Z27" s="9" t="s">
        <v>61</v>
      </c>
    </row>
    <row r="28" customFormat="false" ht="15.75" hidden="false" customHeight="false" outlineLevel="0" collapsed="false">
      <c r="A28" s="1" t="n">
        <v>19</v>
      </c>
      <c r="B28" s="1" t="n">
        <v>1</v>
      </c>
      <c r="C28" s="1" t="s">
        <v>78</v>
      </c>
      <c r="D28" s="1" t="s">
        <v>34</v>
      </c>
      <c r="E28" s="1" t="s">
        <v>35</v>
      </c>
      <c r="F28" s="1" t="s">
        <v>37</v>
      </c>
      <c r="G28" s="1" t="n">
        <v>95</v>
      </c>
      <c r="H28" s="1" t="n">
        <v>6.62</v>
      </c>
      <c r="I28" s="1" t="n">
        <v>2848780</v>
      </c>
      <c r="J28" s="1" t="n">
        <v>1055898</v>
      </c>
      <c r="K28" s="1" t="n">
        <v>18182</v>
      </c>
      <c r="L28" s="1" t="n">
        <v>1246862</v>
      </c>
      <c r="M28" s="1" t="n">
        <v>1160471</v>
      </c>
      <c r="N28" s="1" t="n">
        <v>71513</v>
      </c>
      <c r="O28" s="1" t="n">
        <v>305740</v>
      </c>
      <c r="P28" s="1" t="n">
        <v>1326295</v>
      </c>
      <c r="Q28" s="1" t="n">
        <v>0.370649190179656</v>
      </c>
      <c r="R28" s="1" t="n">
        <v>0.00638238122986</v>
      </c>
      <c r="S28" s="1" t="n">
        <v>0.437682797548424</v>
      </c>
      <c r="T28" s="1" t="n">
        <v>0.40735718447897</v>
      </c>
      <c r="U28" s="1" t="n">
        <v>0.025103026558738</v>
      </c>
      <c r="V28" s="1" t="n">
        <v>0.107323134815605</v>
      </c>
      <c r="W28" s="1" t="n">
        <v>0.465565961569514</v>
      </c>
      <c r="X28" s="8" t="s">
        <v>60</v>
      </c>
      <c r="Y28" s="8" t="s">
        <v>77</v>
      </c>
      <c r="Z28" s="9" t="s">
        <v>61</v>
      </c>
    </row>
    <row r="29" customFormat="false" ht="15.75" hidden="false" customHeight="false" outlineLevel="0" collapsed="false">
      <c r="A29" s="1" t="n">
        <v>19</v>
      </c>
      <c r="B29" s="1" t="n">
        <v>1</v>
      </c>
      <c r="C29" s="1" t="s">
        <v>78</v>
      </c>
      <c r="D29" s="1" t="s">
        <v>34</v>
      </c>
      <c r="E29" s="1" t="s">
        <v>35</v>
      </c>
      <c r="F29" s="1" t="s">
        <v>59</v>
      </c>
      <c r="G29" s="1" t="n">
        <v>95</v>
      </c>
      <c r="H29" s="1" t="n">
        <v>6.62</v>
      </c>
      <c r="I29" s="1" t="n">
        <v>3501448</v>
      </c>
      <c r="J29" s="1" t="n">
        <v>1295892</v>
      </c>
      <c r="K29" s="1" t="n">
        <v>22353</v>
      </c>
      <c r="L29" s="1" t="n">
        <v>1531557</v>
      </c>
      <c r="M29" s="1" t="n">
        <v>1424901</v>
      </c>
      <c r="N29" s="1" t="n">
        <v>88846</v>
      </c>
      <c r="O29" s="1" t="n">
        <v>375684</v>
      </c>
      <c r="P29" s="1" t="n">
        <v>1630758</v>
      </c>
      <c r="Q29" s="1" t="n">
        <v>0.370101740765535</v>
      </c>
      <c r="R29" s="1" t="n">
        <v>0.00638393030540508</v>
      </c>
      <c r="S29" s="1" t="n">
        <v>0.437406752863387</v>
      </c>
      <c r="T29" s="1" t="n">
        <v>0.406946211967163</v>
      </c>
      <c r="U29" s="1" t="n">
        <v>0.0253740738117487</v>
      </c>
      <c r="V29" s="1" t="n">
        <v>0.107293896696452</v>
      </c>
      <c r="W29" s="1" t="n">
        <v>0.46573817460662</v>
      </c>
      <c r="X29" s="8" t="s">
        <v>60</v>
      </c>
      <c r="Y29" s="8" t="s">
        <v>77</v>
      </c>
      <c r="Z29" s="9" t="s">
        <v>61</v>
      </c>
    </row>
    <row r="30" customFormat="false" ht="15.75" hidden="true" customHeight="false" outlineLevel="0" collapsed="false">
      <c r="A30" s="1" t="n">
        <v>20</v>
      </c>
      <c r="B30" s="1" t="n">
        <v>1</v>
      </c>
      <c r="C30" s="1" t="s">
        <v>79</v>
      </c>
      <c r="D30" s="1" t="s">
        <v>27</v>
      </c>
      <c r="E30" s="1" t="s">
        <v>35</v>
      </c>
      <c r="F30" s="1" t="s">
        <v>69</v>
      </c>
      <c r="G30" s="1" t="n">
        <v>37.3</v>
      </c>
      <c r="H30" s="1" t="s">
        <v>38</v>
      </c>
      <c r="I30" s="1" t="n">
        <v>7498527</v>
      </c>
      <c r="J30" s="1" t="n">
        <v>217267</v>
      </c>
      <c r="K30" s="1" t="n">
        <v>3349</v>
      </c>
      <c r="L30" s="1" t="n">
        <v>1128884</v>
      </c>
      <c r="M30" s="1" t="n">
        <v>674750</v>
      </c>
      <c r="N30" s="1" t="n">
        <v>53887</v>
      </c>
      <c r="O30" s="1" t="n">
        <v>150463</v>
      </c>
      <c r="P30" s="1" t="n">
        <v>6626622</v>
      </c>
      <c r="Q30" s="1" t="n">
        <v>0.028974623949477</v>
      </c>
      <c r="R30" s="1" t="n">
        <v>0.000446621049707</v>
      </c>
      <c r="S30" s="1" t="n">
        <v>0.15054743418274</v>
      </c>
      <c r="T30" s="1" t="n">
        <v>0.089984339590962</v>
      </c>
      <c r="U30" s="1" t="n">
        <v>0.007186344731439</v>
      </c>
      <c r="V30" s="1" t="n">
        <v>0.020065674231753</v>
      </c>
      <c r="W30" s="1" t="n">
        <v>0.883723163229258</v>
      </c>
      <c r="X30" s="8" t="s">
        <v>70</v>
      </c>
      <c r="Y30" s="8" t="s">
        <v>77</v>
      </c>
      <c r="Z30" s="9" t="s">
        <v>72</v>
      </c>
    </row>
    <row r="31" customFormat="false" ht="15.75" hidden="true" customHeight="false" outlineLevel="0" collapsed="false">
      <c r="A31" s="1" t="n">
        <v>20</v>
      </c>
      <c r="C31" s="1" t="s">
        <v>79</v>
      </c>
      <c r="E31" s="1" t="s">
        <v>35</v>
      </c>
      <c r="G31" s="1" t="n">
        <v>7.5</v>
      </c>
      <c r="H31" s="1" t="s">
        <v>38</v>
      </c>
      <c r="X31" s="10"/>
      <c r="Y31" s="8" t="s">
        <v>77</v>
      </c>
      <c r="Z31" s="10"/>
    </row>
    <row r="32" customFormat="false" ht="15.75" hidden="false" customHeight="false" outlineLevel="0" collapsed="false">
      <c r="A32" s="1" t="n">
        <v>21</v>
      </c>
      <c r="B32" s="1" t="n">
        <v>1</v>
      </c>
      <c r="C32" s="1" t="s">
        <v>80</v>
      </c>
      <c r="D32" s="1" t="s">
        <v>34</v>
      </c>
      <c r="E32" s="1" t="s">
        <v>35</v>
      </c>
      <c r="F32" s="1" t="s">
        <v>59</v>
      </c>
      <c r="G32" s="1" t="n">
        <v>93.9</v>
      </c>
      <c r="H32" s="1" t="n">
        <v>6.04</v>
      </c>
      <c r="I32" s="1" t="n">
        <v>6603329</v>
      </c>
      <c r="J32" s="1" t="n">
        <v>2995572</v>
      </c>
      <c r="K32" s="1" t="n">
        <v>64991</v>
      </c>
      <c r="L32" s="1" t="n">
        <v>4832975</v>
      </c>
      <c r="M32" s="1" t="n">
        <v>3946769</v>
      </c>
      <c r="N32" s="1" t="n">
        <v>294501</v>
      </c>
      <c r="O32" s="1" t="n">
        <v>780871</v>
      </c>
      <c r="P32" s="1" t="n">
        <v>1623230</v>
      </c>
      <c r="Q32" s="1" t="n">
        <v>0.453645729298056</v>
      </c>
      <c r="R32" s="1" t="n">
        <v>0.00984215688783642</v>
      </c>
      <c r="S32" s="1" t="n">
        <v>0.7318997735839</v>
      </c>
      <c r="T32" s="1" t="n">
        <v>0.597693829884896</v>
      </c>
      <c r="U32" s="1" t="n">
        <v>0.0445988682375208</v>
      </c>
      <c r="V32" s="1" t="n">
        <v>0.118254141206655</v>
      </c>
      <c r="W32" s="1" t="n">
        <v>0.24581994930133</v>
      </c>
      <c r="X32" s="8" t="s">
        <v>60</v>
      </c>
      <c r="Y32" s="8" t="s">
        <v>81</v>
      </c>
      <c r="Z32" s="9" t="s">
        <v>61</v>
      </c>
    </row>
    <row r="33" customFormat="false" ht="15.75" hidden="false" customHeight="false" outlineLevel="0" collapsed="false">
      <c r="A33" s="1" t="n">
        <v>22</v>
      </c>
      <c r="B33" s="1" t="n">
        <v>1</v>
      </c>
      <c r="C33" s="1" t="s">
        <v>82</v>
      </c>
      <c r="D33" s="1" t="s">
        <v>34</v>
      </c>
      <c r="E33" s="1" t="s">
        <v>35</v>
      </c>
      <c r="F33" s="1" t="s">
        <v>83</v>
      </c>
      <c r="G33" s="1" t="n">
        <v>61.9</v>
      </c>
      <c r="H33" s="1" t="n">
        <v>30.2</v>
      </c>
      <c r="I33" s="1" t="n">
        <v>14381372</v>
      </c>
      <c r="J33" s="1" t="n">
        <v>3229589</v>
      </c>
      <c r="K33" s="1" t="n">
        <v>58134</v>
      </c>
      <c r="L33" s="1" t="n">
        <v>3332499</v>
      </c>
      <c r="M33" s="1" t="n">
        <v>3310111</v>
      </c>
      <c r="N33" s="1" t="n">
        <v>279248</v>
      </c>
      <c r="O33" s="1" t="n">
        <v>1877721</v>
      </c>
      <c r="P33" s="1" t="n">
        <v>9003898</v>
      </c>
      <c r="Q33" s="1" t="n">
        <v>0.224567516923976</v>
      </c>
      <c r="R33" s="1" t="n">
        <v>0.00404231251371566</v>
      </c>
      <c r="S33" s="1" t="n">
        <v>0.231723301504196</v>
      </c>
      <c r="T33" s="1" t="n">
        <v>0.230166565470944</v>
      </c>
      <c r="U33" s="1" t="n">
        <v>0.0194173407099128</v>
      </c>
      <c r="V33" s="1" t="n">
        <v>0.130566193545372</v>
      </c>
      <c r="W33" s="1" t="n">
        <v>0.626080599264104</v>
      </c>
      <c r="X33" s="8" t="s">
        <v>67</v>
      </c>
      <c r="Y33" s="8" t="s">
        <v>81</v>
      </c>
      <c r="Z33" s="9" t="s">
        <v>68</v>
      </c>
    </row>
    <row r="34" customFormat="false" ht="15.75" hidden="true" customHeight="false" outlineLevel="0" collapsed="false">
      <c r="A34" s="1" t="n">
        <v>23</v>
      </c>
      <c r="B34" s="1" t="n">
        <v>1</v>
      </c>
      <c r="C34" s="1" t="s">
        <v>84</v>
      </c>
      <c r="D34" s="1" t="s">
        <v>27</v>
      </c>
      <c r="E34" s="1" t="s">
        <v>35</v>
      </c>
      <c r="F34" s="1" t="s">
        <v>63</v>
      </c>
      <c r="G34" s="1" t="n">
        <v>61.6</v>
      </c>
      <c r="H34" s="1" t="s">
        <v>38</v>
      </c>
      <c r="I34" s="1" t="n">
        <v>3650128</v>
      </c>
      <c r="J34" s="1" t="n">
        <v>411720</v>
      </c>
      <c r="K34" s="1" t="n">
        <v>7574</v>
      </c>
      <c r="L34" s="1" t="n">
        <v>606360</v>
      </c>
      <c r="M34" s="1" t="n">
        <v>512827</v>
      </c>
      <c r="N34" s="1" t="n">
        <v>59979</v>
      </c>
      <c r="O34" s="1" t="n">
        <v>447876</v>
      </c>
      <c r="P34" s="1" t="n">
        <v>2645983</v>
      </c>
      <c r="Q34" s="1" t="n">
        <v>0.112796044412689</v>
      </c>
      <c r="R34" s="1" t="n">
        <v>0.00207499572617727</v>
      </c>
      <c r="S34" s="1" t="n">
        <v>0.166120201812101</v>
      </c>
      <c r="T34" s="1" t="n">
        <v>0.140495620975484</v>
      </c>
      <c r="U34" s="1" t="n">
        <v>0.0164320264933175</v>
      </c>
      <c r="V34" s="1" t="n">
        <v>0.122701450469682</v>
      </c>
      <c r="W34" s="1" t="n">
        <v>0.724901428114302</v>
      </c>
      <c r="X34" s="8" t="s">
        <v>64</v>
      </c>
      <c r="Y34" s="8" t="s">
        <v>81</v>
      </c>
      <c r="Z34" s="9" t="s">
        <v>65</v>
      </c>
    </row>
    <row r="35" customFormat="false" ht="15.75" hidden="true" customHeight="false" outlineLevel="0" collapsed="false">
      <c r="A35" s="1" t="n">
        <v>23</v>
      </c>
      <c r="C35" s="1" t="s">
        <v>84</v>
      </c>
      <c r="E35" s="1" t="s">
        <v>35</v>
      </c>
      <c r="H35" s="1" t="n">
        <v>76.8</v>
      </c>
      <c r="X35" s="10"/>
      <c r="Y35" s="8" t="s">
        <v>85</v>
      </c>
      <c r="Z35" s="10"/>
    </row>
    <row r="36" customFormat="false" ht="15.75" hidden="false" customHeight="false" outlineLevel="0" collapsed="false">
      <c r="A36" s="1" t="n">
        <v>24</v>
      </c>
      <c r="B36" s="1" t="n">
        <v>1</v>
      </c>
      <c r="C36" s="1" t="s">
        <v>86</v>
      </c>
      <c r="D36" s="1" t="s">
        <v>34</v>
      </c>
      <c r="E36" s="1" t="s">
        <v>35</v>
      </c>
      <c r="F36" s="1" t="s">
        <v>74</v>
      </c>
      <c r="G36" s="1" t="n">
        <v>19</v>
      </c>
      <c r="H36" s="1" t="s">
        <v>38</v>
      </c>
      <c r="I36" s="1" t="n">
        <v>8036834</v>
      </c>
      <c r="J36" s="1" t="n">
        <v>4759319</v>
      </c>
      <c r="K36" s="1" t="n">
        <v>118853</v>
      </c>
      <c r="L36" s="1" t="n">
        <v>6280640</v>
      </c>
      <c r="M36" s="1" t="n">
        <v>5579406</v>
      </c>
      <c r="N36" s="1" t="n">
        <v>308616</v>
      </c>
      <c r="O36" s="1" t="n">
        <v>522748</v>
      </c>
      <c r="P36" s="1" t="n">
        <v>1636298</v>
      </c>
      <c r="Q36" s="1" t="n">
        <v>0.5921882920563</v>
      </c>
      <c r="R36" s="1" t="n">
        <v>0.0147885348882408</v>
      </c>
      <c r="S36" s="1" t="n">
        <v>0.781481862136259</v>
      </c>
      <c r="T36" s="1" t="n">
        <v>0.6942293445404</v>
      </c>
      <c r="U36" s="1" t="n">
        <v>0.0384001958980365</v>
      </c>
      <c r="V36" s="1" t="n">
        <v>0.0650440210660068</v>
      </c>
      <c r="W36" s="1" t="n">
        <v>0.203599825503426</v>
      </c>
      <c r="X36" s="8" t="s">
        <v>64</v>
      </c>
      <c r="Y36" s="8" t="s">
        <v>87</v>
      </c>
      <c r="Z36" s="9" t="s">
        <v>65</v>
      </c>
    </row>
    <row r="37" customFormat="false" ht="15.75" hidden="false" customHeight="false" outlineLevel="0" collapsed="false">
      <c r="A37" s="1" t="n">
        <v>25</v>
      </c>
      <c r="B37" s="1" t="n">
        <v>1</v>
      </c>
      <c r="C37" s="1" t="s">
        <v>88</v>
      </c>
      <c r="D37" s="1" t="s">
        <v>34</v>
      </c>
      <c r="E37" s="1" t="s">
        <v>35</v>
      </c>
      <c r="F37" s="1" t="s">
        <v>52</v>
      </c>
      <c r="G37" s="1" t="n">
        <v>44.5</v>
      </c>
      <c r="H37" s="1" t="n">
        <v>34</v>
      </c>
      <c r="I37" s="1" t="n">
        <v>7765258</v>
      </c>
      <c r="J37" s="1" t="n">
        <v>2126362</v>
      </c>
      <c r="K37" s="1" t="n">
        <v>49757</v>
      </c>
      <c r="L37" s="1" t="n">
        <v>2308805</v>
      </c>
      <c r="M37" s="1" t="n">
        <v>2242462</v>
      </c>
      <c r="N37" s="1" t="n">
        <v>238478</v>
      </c>
      <c r="O37" s="1" t="n">
        <v>997955</v>
      </c>
      <c r="P37" s="1" t="n">
        <v>4360259</v>
      </c>
      <c r="Q37" s="1" t="n">
        <v>0.273830180529739</v>
      </c>
      <c r="R37" s="1" t="n">
        <v>0.00640764286260675</v>
      </c>
      <c r="S37" s="1" t="n">
        <v>0.297324956878445</v>
      </c>
      <c r="T37" s="1" t="n">
        <v>0.288781390135395</v>
      </c>
      <c r="U37" s="1" t="n">
        <v>0.030710892027026</v>
      </c>
      <c r="V37" s="1" t="n">
        <v>0.128515369354115</v>
      </c>
      <c r="W37" s="1" t="n">
        <v>0.561508580912572</v>
      </c>
      <c r="X37" s="8" t="s">
        <v>53</v>
      </c>
      <c r="Y37" s="8" t="s">
        <v>87</v>
      </c>
      <c r="Z37" s="9" t="s">
        <v>54</v>
      </c>
    </row>
    <row r="38" customFormat="false" ht="15.75" hidden="false" customHeight="false" outlineLevel="0" collapsed="false">
      <c r="A38" s="1" t="n">
        <v>26</v>
      </c>
      <c r="B38" s="1" t="n">
        <v>1</v>
      </c>
      <c r="C38" s="1" t="s">
        <v>89</v>
      </c>
      <c r="D38" s="1" t="s">
        <v>34</v>
      </c>
      <c r="E38" s="1" t="s">
        <v>35</v>
      </c>
      <c r="F38" s="1" t="s">
        <v>52</v>
      </c>
      <c r="G38" s="1" t="n">
        <v>68.1</v>
      </c>
      <c r="H38" s="1" t="n">
        <v>69.2</v>
      </c>
      <c r="I38" s="1" t="n">
        <v>5418703</v>
      </c>
      <c r="J38" s="1" t="n">
        <v>1551066</v>
      </c>
      <c r="K38" s="1" t="n">
        <v>48871</v>
      </c>
      <c r="L38" s="1" t="n">
        <v>2474125</v>
      </c>
      <c r="M38" s="1" t="n">
        <v>2037031</v>
      </c>
      <c r="N38" s="1" t="n">
        <v>212952</v>
      </c>
      <c r="O38" s="1" t="n">
        <v>655898</v>
      </c>
      <c r="P38" s="1" t="n">
        <v>2566314</v>
      </c>
      <c r="Q38" s="1" t="n">
        <v>0.286243036387121</v>
      </c>
      <c r="R38" s="1" t="n">
        <v>0.00901894789214319</v>
      </c>
      <c r="S38" s="1" t="n">
        <v>0.456589888761204</v>
      </c>
      <c r="T38" s="1" t="n">
        <v>0.375925936520234</v>
      </c>
      <c r="U38" s="1" t="n">
        <v>0.0392994412131464</v>
      </c>
      <c r="V38" s="1" t="n">
        <v>0.12104335668517</v>
      </c>
      <c r="W38" s="1" t="n">
        <v>0.473603000570432</v>
      </c>
      <c r="X38" s="8" t="s">
        <v>53</v>
      </c>
      <c r="Y38" s="8" t="s">
        <v>87</v>
      </c>
      <c r="Z38" s="9" t="s">
        <v>54</v>
      </c>
    </row>
    <row r="39" customFormat="false" ht="15.75" hidden="false" customHeight="false" outlineLevel="0" collapsed="false">
      <c r="A39" s="1" t="n">
        <v>26</v>
      </c>
      <c r="B39" s="1" t="n">
        <v>1</v>
      </c>
      <c r="C39" s="1" t="s">
        <v>89</v>
      </c>
      <c r="D39" s="1" t="s">
        <v>34</v>
      </c>
      <c r="E39" s="1" t="s">
        <v>35</v>
      </c>
      <c r="F39" s="1" t="s">
        <v>37</v>
      </c>
      <c r="H39" s="1" t="n">
        <v>69.2</v>
      </c>
      <c r="I39" s="1" t="n">
        <v>7021914</v>
      </c>
      <c r="J39" s="1" t="n">
        <v>3018635</v>
      </c>
      <c r="K39" s="1" t="n">
        <v>95722</v>
      </c>
      <c r="L39" s="1" t="n">
        <v>4869063</v>
      </c>
      <c r="M39" s="1" t="n">
        <v>3991710</v>
      </c>
      <c r="N39" s="1" t="n">
        <v>394865</v>
      </c>
      <c r="O39" s="1" t="n">
        <v>1259908</v>
      </c>
      <c r="P39" s="1" t="n">
        <v>1475340</v>
      </c>
      <c r="Q39" s="1" t="n">
        <v>0.42988777703629</v>
      </c>
      <c r="R39" s="1" t="n">
        <v>0.013631895805047</v>
      </c>
      <c r="S39" s="1" t="n">
        <v>0.69340966010122</v>
      </c>
      <c r="T39" s="1" t="n">
        <v>0.568464666471278</v>
      </c>
      <c r="U39" s="1" t="n">
        <v>0.056233243528759</v>
      </c>
      <c r="V39" s="1" t="n">
        <v>0.179425153882545</v>
      </c>
      <c r="W39" s="1" t="n">
        <v>0.21010510809446</v>
      </c>
      <c r="X39" s="8" t="s">
        <v>53</v>
      </c>
      <c r="Y39" s="8" t="s">
        <v>87</v>
      </c>
      <c r="Z39" s="9" t="s">
        <v>54</v>
      </c>
    </row>
    <row r="40" customFormat="false" ht="15.75" hidden="true" customHeight="false" outlineLevel="0" collapsed="false">
      <c r="A40" s="1" t="n">
        <v>26</v>
      </c>
      <c r="B40" s="1" t="n">
        <v>1</v>
      </c>
      <c r="C40" s="1" t="s">
        <v>89</v>
      </c>
      <c r="E40" s="1" t="s">
        <v>35</v>
      </c>
      <c r="F40" s="1" t="s">
        <v>90</v>
      </c>
      <c r="H40" s="1" t="n">
        <v>69.2</v>
      </c>
      <c r="X40" s="8" t="s">
        <v>91</v>
      </c>
      <c r="Y40" s="8" t="s">
        <v>87</v>
      </c>
      <c r="Z40" s="10"/>
    </row>
    <row r="41" customFormat="false" ht="16.5" hidden="false" customHeight="true" outlineLevel="0" collapsed="false">
      <c r="A41" s="1" t="n">
        <v>27</v>
      </c>
      <c r="B41" s="1" t="n">
        <v>1</v>
      </c>
      <c r="C41" s="1" t="s">
        <v>92</v>
      </c>
      <c r="D41" s="1" t="s">
        <v>34</v>
      </c>
      <c r="E41" s="1" t="s">
        <v>35</v>
      </c>
      <c r="F41" s="1" t="s">
        <v>59</v>
      </c>
      <c r="G41" s="1" t="n">
        <v>71</v>
      </c>
      <c r="H41" s="1" t="n">
        <v>11</v>
      </c>
      <c r="I41" s="1" t="n">
        <v>7249575</v>
      </c>
      <c r="J41" s="1" t="n">
        <v>2921805</v>
      </c>
      <c r="K41" s="1" t="n">
        <v>48057</v>
      </c>
      <c r="L41" s="1" t="n">
        <v>4262674</v>
      </c>
      <c r="M41" s="1" t="n">
        <v>3616268</v>
      </c>
      <c r="N41" s="1" t="n">
        <v>430295</v>
      </c>
      <c r="O41" s="1" t="n">
        <v>1700631</v>
      </c>
      <c r="P41" s="1" t="n">
        <v>1604090</v>
      </c>
      <c r="Q41" s="1" t="n">
        <v>0.403031212174507</v>
      </c>
      <c r="R41" s="1" t="n">
        <v>0.00662894031719101</v>
      </c>
      <c r="S41" s="1" t="n">
        <v>0.587989502832925</v>
      </c>
      <c r="T41" s="1" t="n">
        <v>0.498824827662311</v>
      </c>
      <c r="U41" s="1" t="n">
        <v>0.0593545138852967</v>
      </c>
      <c r="V41" s="1" t="n">
        <v>0.234583544552612</v>
      </c>
      <c r="W41" s="1" t="n">
        <v>0.221266763913747</v>
      </c>
      <c r="X41" s="8" t="s">
        <v>60</v>
      </c>
      <c r="Y41" s="8" t="s">
        <v>93</v>
      </c>
      <c r="Z41" s="9" t="s">
        <v>61</v>
      </c>
    </row>
    <row r="42" customFormat="false" ht="15.75" hidden="false" customHeight="false" outlineLevel="0" collapsed="false">
      <c r="A42" s="1" t="n">
        <v>28</v>
      </c>
      <c r="B42" s="1" t="n">
        <v>1</v>
      </c>
      <c r="C42" s="1" t="s">
        <v>94</v>
      </c>
      <c r="D42" s="1" t="s">
        <v>34</v>
      </c>
      <c r="E42" s="1" t="s">
        <v>35</v>
      </c>
      <c r="F42" s="1" t="s">
        <v>74</v>
      </c>
      <c r="G42" s="1" t="n">
        <v>151</v>
      </c>
      <c r="H42" s="1" t="n">
        <v>10</v>
      </c>
      <c r="I42" s="1" t="n">
        <v>11508983</v>
      </c>
      <c r="J42" s="1" t="n">
        <v>2443970</v>
      </c>
      <c r="K42" s="1" t="n">
        <v>41071</v>
      </c>
      <c r="L42" s="1" t="n">
        <v>2793651</v>
      </c>
      <c r="M42" s="1" t="n">
        <v>2639346</v>
      </c>
      <c r="N42" s="1" t="n">
        <v>196511</v>
      </c>
      <c r="O42" s="1" t="n">
        <v>2130294</v>
      </c>
      <c r="P42" s="1" t="n">
        <v>6591370</v>
      </c>
      <c r="Q42" s="1" t="n">
        <v>0.212353254844498</v>
      </c>
      <c r="R42" s="1" t="n">
        <v>0.00356860375934172</v>
      </c>
      <c r="S42" s="1" t="n">
        <v>0.242736564994492</v>
      </c>
      <c r="T42" s="1" t="n">
        <v>0.229329211799166</v>
      </c>
      <c r="U42" s="1" t="n">
        <v>0.0170745755728373</v>
      </c>
      <c r="V42" s="1" t="n">
        <v>0.185098370551073</v>
      </c>
      <c r="W42" s="1" t="n">
        <v>0.572715243388577</v>
      </c>
      <c r="X42" s="8" t="s">
        <v>64</v>
      </c>
      <c r="Y42" s="8" t="s">
        <v>93</v>
      </c>
      <c r="Z42" s="9" t="s">
        <v>65</v>
      </c>
    </row>
    <row r="43" customFormat="false" ht="15.75" hidden="true" customHeight="false" outlineLevel="0" collapsed="false">
      <c r="A43" s="1" t="n">
        <v>29</v>
      </c>
      <c r="C43" s="1" t="s">
        <v>95</v>
      </c>
      <c r="E43" s="1" t="s">
        <v>35</v>
      </c>
      <c r="H43" s="1" t="n">
        <v>12</v>
      </c>
      <c r="X43" s="8" t="s">
        <v>67</v>
      </c>
      <c r="Y43" s="8" t="s">
        <v>96</v>
      </c>
      <c r="Z43" s="9" t="s">
        <v>68</v>
      </c>
    </row>
    <row r="44" customFormat="false" ht="15.75" hidden="false" customHeight="false" outlineLevel="0" collapsed="false">
      <c r="A44" s="1" t="n">
        <v>29</v>
      </c>
      <c r="B44" s="1" t="n">
        <v>1</v>
      </c>
      <c r="C44" s="1" t="s">
        <v>95</v>
      </c>
      <c r="D44" s="1" t="s">
        <v>34</v>
      </c>
      <c r="E44" s="1" t="s">
        <v>35</v>
      </c>
      <c r="F44" s="1" t="s">
        <v>69</v>
      </c>
      <c r="H44" s="1" t="n">
        <v>18.6</v>
      </c>
      <c r="I44" s="1" t="n">
        <v>18061295</v>
      </c>
      <c r="J44" s="1" t="n">
        <v>9322054</v>
      </c>
      <c r="K44" s="1" t="n">
        <v>186799</v>
      </c>
      <c r="L44" s="1" t="n">
        <v>9945421</v>
      </c>
      <c r="M44" s="1" t="n">
        <v>9727137</v>
      </c>
      <c r="N44" s="1" t="n">
        <v>738773</v>
      </c>
      <c r="O44" s="1" t="n">
        <v>3063904</v>
      </c>
      <c r="P44" s="1" t="n">
        <v>4672580</v>
      </c>
      <c r="Q44" s="1" t="n">
        <v>0.516134308198831</v>
      </c>
      <c r="R44" s="1" t="n">
        <v>0.01034250312616</v>
      </c>
      <c r="S44" s="1" t="n">
        <v>0.550648278542596</v>
      </c>
      <c r="T44" s="1" t="n">
        <v>0.538562544933794</v>
      </c>
      <c r="U44" s="1" t="n">
        <v>0.040903656133184</v>
      </c>
      <c r="V44" s="1" t="n">
        <v>0.169639220222027</v>
      </c>
      <c r="W44" s="1" t="n">
        <v>0.258706809229349</v>
      </c>
      <c r="X44" s="8" t="s">
        <v>70</v>
      </c>
      <c r="Y44" s="8" t="s">
        <v>97</v>
      </c>
      <c r="Z44" s="9" t="s">
        <v>72</v>
      </c>
    </row>
    <row r="45" customFormat="false" ht="15.75" hidden="true" customHeight="false" outlineLevel="0" collapsed="false">
      <c r="A45" s="1" t="n">
        <v>30</v>
      </c>
      <c r="C45" s="1" t="s">
        <v>98</v>
      </c>
      <c r="E45" s="1" t="s">
        <v>99</v>
      </c>
      <c r="H45" s="1" t="s">
        <v>38</v>
      </c>
      <c r="X45" s="10"/>
      <c r="Y45" s="8" t="s">
        <v>96</v>
      </c>
      <c r="Z45" s="10"/>
    </row>
    <row r="46" customFormat="false" ht="15.75" hidden="true" customHeight="false" outlineLevel="0" collapsed="false">
      <c r="A46" s="1" t="n">
        <v>31</v>
      </c>
      <c r="C46" s="1" t="s">
        <v>100</v>
      </c>
      <c r="E46" s="1" t="s">
        <v>35</v>
      </c>
      <c r="H46" s="1" t="n">
        <v>51.6</v>
      </c>
      <c r="X46" s="8" t="s">
        <v>67</v>
      </c>
      <c r="Y46" s="8" t="s">
        <v>96</v>
      </c>
      <c r="Z46" s="9" t="s">
        <v>68</v>
      </c>
    </row>
    <row r="47" customFormat="false" ht="15.75" hidden="true" customHeight="false" outlineLevel="0" collapsed="false">
      <c r="A47" s="1" t="n">
        <v>31</v>
      </c>
      <c r="C47" s="1" t="s">
        <v>100</v>
      </c>
      <c r="E47" s="1" t="s">
        <v>35</v>
      </c>
      <c r="H47" s="1" t="n">
        <v>4.4</v>
      </c>
      <c r="X47" s="10"/>
      <c r="Y47" s="8" t="s">
        <v>101</v>
      </c>
      <c r="Z47" s="10"/>
    </row>
    <row r="48" customFormat="false" ht="15.75" hidden="true" customHeight="false" outlineLevel="0" collapsed="false">
      <c r="A48" s="1" t="n">
        <v>32</v>
      </c>
      <c r="B48" s="1" t="n">
        <v>1</v>
      </c>
      <c r="C48" s="1" t="s">
        <v>102</v>
      </c>
      <c r="D48" s="1" t="s">
        <v>27</v>
      </c>
      <c r="E48" s="1" t="s">
        <v>35</v>
      </c>
      <c r="F48" s="1" t="s">
        <v>74</v>
      </c>
      <c r="H48" s="1" t="n">
        <v>4.8</v>
      </c>
      <c r="I48" s="1" t="n">
        <v>7522377</v>
      </c>
      <c r="J48" s="1" t="n">
        <v>227429</v>
      </c>
      <c r="K48" s="1" t="n">
        <v>4204</v>
      </c>
      <c r="L48" s="1" t="n">
        <v>445903</v>
      </c>
      <c r="M48" s="1" t="n">
        <v>338768</v>
      </c>
      <c r="N48" s="1" t="n">
        <v>55799</v>
      </c>
      <c r="O48" s="1" t="n">
        <v>1772530</v>
      </c>
      <c r="P48" s="1" t="n">
        <v>5375862</v>
      </c>
      <c r="Q48" s="1" t="n">
        <v>0.030233661514173</v>
      </c>
      <c r="R48" s="1" t="n">
        <v>0.000558865901031017</v>
      </c>
      <c r="S48" s="1" t="n">
        <v>0.0592768748495323</v>
      </c>
      <c r="T48" s="1" t="n">
        <v>0.0450347011323681</v>
      </c>
      <c r="U48" s="1" t="n">
        <v>0.00741773511218595</v>
      </c>
      <c r="V48" s="1" t="n">
        <v>0.235634294851215</v>
      </c>
      <c r="W48" s="1" t="n">
        <v>0.714649372133303</v>
      </c>
      <c r="X48" s="8" t="s">
        <v>64</v>
      </c>
      <c r="Y48" s="8" t="s">
        <v>103</v>
      </c>
      <c r="Z48" s="9" t="s">
        <v>65</v>
      </c>
    </row>
    <row r="49" customFormat="false" ht="15.75" hidden="true" customHeight="false" outlineLevel="0" collapsed="false">
      <c r="A49" s="1" t="n">
        <v>34</v>
      </c>
      <c r="B49" s="1" t="n">
        <v>1</v>
      </c>
      <c r="C49" s="1" t="s">
        <v>104</v>
      </c>
      <c r="D49" s="1" t="s">
        <v>27</v>
      </c>
      <c r="E49" s="1" t="s">
        <v>35</v>
      </c>
      <c r="F49" s="1" t="s">
        <v>63</v>
      </c>
      <c r="H49" s="1" t="s">
        <v>38</v>
      </c>
      <c r="I49" s="1" t="n">
        <v>4036813</v>
      </c>
      <c r="J49" s="1" t="n">
        <v>1175562</v>
      </c>
      <c r="K49" s="1" t="n">
        <v>25419</v>
      </c>
      <c r="L49" s="1" t="n">
        <v>1912451</v>
      </c>
      <c r="M49" s="1" t="n">
        <v>1556716</v>
      </c>
      <c r="N49" s="1" t="n">
        <v>86621</v>
      </c>
      <c r="O49" s="1" t="n">
        <v>622663</v>
      </c>
      <c r="P49" s="1" t="n">
        <v>1776834</v>
      </c>
      <c r="Q49" s="1" t="n">
        <v>0.29121041772309</v>
      </c>
      <c r="R49" s="1" t="n">
        <v>0.00629679898474366</v>
      </c>
      <c r="S49" s="1" t="n">
        <v>0.473752685596286</v>
      </c>
      <c r="T49" s="1" t="n">
        <v>0.38562995115206</v>
      </c>
      <c r="U49" s="1" t="n">
        <v>0.0214577687893891</v>
      </c>
      <c r="V49" s="1" t="n">
        <v>0.154246183808861</v>
      </c>
      <c r="W49" s="1" t="n">
        <v>0.440157619389355</v>
      </c>
      <c r="X49" s="8" t="s">
        <v>64</v>
      </c>
      <c r="Y49" s="8" t="s">
        <v>105</v>
      </c>
      <c r="Z49" s="9" t="s">
        <v>65</v>
      </c>
    </row>
    <row r="50" customFormat="false" ht="15.75" hidden="true" customHeight="false" outlineLevel="0" collapsed="false">
      <c r="A50" s="1" t="n">
        <v>35</v>
      </c>
      <c r="B50" s="1" t="n">
        <v>1</v>
      </c>
      <c r="C50" s="1" t="s">
        <v>106</v>
      </c>
      <c r="D50" s="1" t="s">
        <v>27</v>
      </c>
      <c r="E50" s="1" t="s">
        <v>28</v>
      </c>
      <c r="F50" s="1" t="s">
        <v>74</v>
      </c>
      <c r="H50" s="1" t="n">
        <v>14.2</v>
      </c>
      <c r="I50" s="1" t="n">
        <v>11159861</v>
      </c>
      <c r="J50" s="1" t="n">
        <v>763868</v>
      </c>
      <c r="K50" s="1" t="n">
        <v>14446</v>
      </c>
      <c r="L50" s="1" t="n">
        <v>840532</v>
      </c>
      <c r="M50" s="1" t="n">
        <v>809423</v>
      </c>
      <c r="N50" s="1" t="n">
        <v>103533</v>
      </c>
      <c r="O50" s="1" t="n">
        <v>931947</v>
      </c>
      <c r="P50" s="1" t="n">
        <v>9342568</v>
      </c>
      <c r="Q50" s="1" t="n">
        <v>0.0684478059359342</v>
      </c>
      <c r="R50" s="1" t="n">
        <v>0.00129446056720599</v>
      </c>
      <c r="S50" s="1" t="n">
        <v>0.0753174255485799</v>
      </c>
      <c r="T50" s="1" t="n">
        <v>0.07252984602586</v>
      </c>
      <c r="U50" s="1" t="n">
        <v>0.00927726608781238</v>
      </c>
      <c r="V50" s="1" t="n">
        <v>0.0835088358179372</v>
      </c>
      <c r="W50" s="1" t="n">
        <v>0.837158097220028</v>
      </c>
      <c r="X50" s="8" t="s">
        <v>64</v>
      </c>
      <c r="Y50" s="8" t="s">
        <v>105</v>
      </c>
      <c r="Z50" s="9" t="s">
        <v>65</v>
      </c>
    </row>
    <row r="51" customFormat="false" ht="15.75" hidden="false" customHeight="false" outlineLevel="0" collapsed="false">
      <c r="A51" s="1" t="n">
        <v>36</v>
      </c>
      <c r="B51" s="1" t="n">
        <v>1</v>
      </c>
      <c r="C51" s="1" t="s">
        <v>107</v>
      </c>
      <c r="D51" s="1" t="s">
        <v>34</v>
      </c>
      <c r="E51" s="1" t="s">
        <v>35</v>
      </c>
      <c r="F51" s="1" t="s">
        <v>108</v>
      </c>
      <c r="H51" s="1" t="n">
        <v>8.2</v>
      </c>
      <c r="I51" s="1" t="n">
        <v>8591511</v>
      </c>
      <c r="J51" s="1" t="n">
        <v>3176188</v>
      </c>
      <c r="K51" s="1" t="n">
        <v>58521</v>
      </c>
      <c r="L51" s="1" t="n">
        <v>3770025</v>
      </c>
      <c r="M51" s="1" t="n">
        <v>3502367</v>
      </c>
      <c r="N51" s="1" t="n">
        <v>263928</v>
      </c>
      <c r="O51" s="1" t="n">
        <v>1229006</v>
      </c>
      <c r="P51" s="1" t="n">
        <v>3640201</v>
      </c>
      <c r="Q51" s="1" t="n">
        <f aca="false">J51/$I51</f>
        <v>0.369689103581431</v>
      </c>
      <c r="R51" s="1" t="n">
        <f aca="false">K51/$I51</f>
        <v>0.00681149101712144</v>
      </c>
      <c r="S51" s="1" t="n">
        <f aca="false">L51/$I51</f>
        <v>0.438808144457942</v>
      </c>
      <c r="T51" s="1" t="n">
        <f aca="false">M51/$I51</f>
        <v>0.407654369528247</v>
      </c>
      <c r="U51" s="1" t="n">
        <f aca="false">N51/$I51</f>
        <v>0.0307196254535436</v>
      </c>
      <c r="V51" s="1" t="n">
        <f aca="false">O51/$I51</f>
        <v>0.143048876967043</v>
      </c>
      <c r="W51" s="1" t="n">
        <f aca="false">P51/$I51</f>
        <v>0.423697414808641</v>
      </c>
      <c r="X51" s="8" t="s">
        <v>109</v>
      </c>
      <c r="Y51" s="8" t="s">
        <v>105</v>
      </c>
      <c r="Z51" s="9" t="s">
        <v>110</v>
      </c>
    </row>
    <row r="52" customFormat="false" ht="15.75" hidden="false" customHeight="false" outlineLevel="0" collapsed="false">
      <c r="A52" s="1" t="n">
        <v>37</v>
      </c>
      <c r="B52" s="1" t="n">
        <v>1</v>
      </c>
      <c r="C52" s="1" t="s">
        <v>111</v>
      </c>
      <c r="D52" s="1" t="s">
        <v>34</v>
      </c>
      <c r="E52" s="1" t="s">
        <v>35</v>
      </c>
      <c r="F52" s="1" t="s">
        <v>74</v>
      </c>
      <c r="H52" s="1" t="n">
        <v>22</v>
      </c>
      <c r="I52" s="1" t="n">
        <v>8699840</v>
      </c>
      <c r="J52" s="1" t="n">
        <v>4127357</v>
      </c>
      <c r="K52" s="1" t="n">
        <v>76874</v>
      </c>
      <c r="L52" s="1" t="n">
        <v>4331019</v>
      </c>
      <c r="M52" s="1" t="n">
        <v>4267625</v>
      </c>
      <c r="N52" s="1" t="n">
        <v>383334</v>
      </c>
      <c r="O52" s="1" t="n">
        <v>2295413</v>
      </c>
      <c r="P52" s="1" t="n">
        <v>1843742</v>
      </c>
      <c r="Q52" s="1" t="n">
        <v>0.474417575495641</v>
      </c>
      <c r="R52" s="1" t="n">
        <v>0.00883625445985214</v>
      </c>
      <c r="S52" s="1" t="n">
        <v>0.497827431309082</v>
      </c>
      <c r="T52" s="1" t="n">
        <v>0.490540630632287</v>
      </c>
      <c r="U52" s="1" t="n">
        <v>0.0440621896494648</v>
      </c>
      <c r="V52" s="1" t="n">
        <v>0.263845427042336</v>
      </c>
      <c r="W52" s="1" t="n">
        <v>0.211928265347409</v>
      </c>
      <c r="X52" s="8" t="s">
        <v>71</v>
      </c>
      <c r="Y52" s="8" t="s">
        <v>112</v>
      </c>
      <c r="Z52" s="9" t="s">
        <v>113</v>
      </c>
    </row>
    <row r="53" customFormat="false" ht="15.75" hidden="true" customHeight="false" outlineLevel="0" collapsed="false">
      <c r="A53" s="1" t="n">
        <v>38</v>
      </c>
      <c r="B53" s="1" t="n">
        <v>1</v>
      </c>
      <c r="C53" s="1" t="s">
        <v>114</v>
      </c>
      <c r="D53" s="1" t="s">
        <v>27</v>
      </c>
      <c r="E53" s="1" t="s">
        <v>35</v>
      </c>
      <c r="F53" s="1" t="s">
        <v>74</v>
      </c>
      <c r="H53" s="1" t="n">
        <v>2.81</v>
      </c>
      <c r="I53" s="1" t="n">
        <v>13295780</v>
      </c>
      <c r="J53" s="1" t="n">
        <v>1520945</v>
      </c>
      <c r="K53" s="1" t="n">
        <v>28684</v>
      </c>
      <c r="L53" s="1" t="n">
        <v>7431611</v>
      </c>
      <c r="M53" s="1" t="n">
        <v>4490620</v>
      </c>
      <c r="N53" s="1" t="n">
        <v>359647</v>
      </c>
      <c r="O53" s="1" t="n">
        <v>1197593</v>
      </c>
      <c r="P53" s="1" t="n">
        <v>7293610</v>
      </c>
      <c r="Q53" s="1" t="n">
        <v>0.114393063062114</v>
      </c>
      <c r="R53" s="1" t="n">
        <v>0.00215737625020871</v>
      </c>
      <c r="S53" s="1" t="n">
        <v>0.558945093856848</v>
      </c>
      <c r="T53" s="1" t="n">
        <v>0.337747766584585</v>
      </c>
      <c r="U53" s="1" t="n">
        <v>0.0270497105096504</v>
      </c>
      <c r="V53" s="1" t="n">
        <v>0.0900731660722425</v>
      </c>
      <c r="W53" s="1" t="n">
        <v>0.548565785534959</v>
      </c>
      <c r="X53" s="8" t="s">
        <v>71</v>
      </c>
      <c r="Y53" s="8" t="s">
        <v>112</v>
      </c>
      <c r="Z53" s="9" t="s">
        <v>113</v>
      </c>
    </row>
    <row r="54" customFormat="false" ht="15.75" hidden="false" customHeight="false" outlineLevel="0" collapsed="false">
      <c r="A54" s="1" t="n">
        <v>39</v>
      </c>
      <c r="B54" s="1" t="n">
        <v>1</v>
      </c>
      <c r="C54" s="1" t="s">
        <v>115</v>
      </c>
      <c r="D54" s="1" t="s">
        <v>34</v>
      </c>
      <c r="E54" s="1" t="s">
        <v>35</v>
      </c>
      <c r="F54" s="1" t="s">
        <v>74</v>
      </c>
      <c r="H54" s="1" t="n">
        <v>25.4</v>
      </c>
      <c r="I54" s="1" t="n">
        <v>10913793</v>
      </c>
      <c r="J54" s="1" t="n">
        <v>3624140</v>
      </c>
      <c r="K54" s="1" t="n">
        <v>71405</v>
      </c>
      <c r="L54" s="1" t="n">
        <v>4082475</v>
      </c>
      <c r="M54" s="1" t="n">
        <v>3889010</v>
      </c>
      <c r="N54" s="1" t="n">
        <v>282158</v>
      </c>
      <c r="O54" s="1" t="n">
        <v>1582902</v>
      </c>
      <c r="P54" s="1" t="n">
        <v>5234655</v>
      </c>
      <c r="Q54" s="1" t="n">
        <v>0.332069702989602</v>
      </c>
      <c r="R54" s="1" t="n">
        <v>0.00654263829266324</v>
      </c>
      <c r="S54" s="1" t="n">
        <v>0.374065643356072</v>
      </c>
      <c r="T54" s="1" t="n">
        <v>0.356338992319169</v>
      </c>
      <c r="U54" s="1" t="n">
        <v>0.025853339897504</v>
      </c>
      <c r="V54" s="1" t="n">
        <v>0.145036835497979</v>
      </c>
      <c r="W54" s="1" t="n">
        <v>0.479636639617409</v>
      </c>
      <c r="X54" s="8" t="s">
        <v>71</v>
      </c>
      <c r="Y54" s="8" t="s">
        <v>112</v>
      </c>
      <c r="Z54" s="9" t="s">
        <v>113</v>
      </c>
    </row>
    <row r="55" customFormat="false" ht="15.75" hidden="false" customHeight="false" outlineLevel="0" collapsed="false">
      <c r="A55" s="1" t="n">
        <v>40</v>
      </c>
      <c r="B55" s="1" t="n">
        <v>1</v>
      </c>
      <c r="C55" s="1" t="s">
        <v>116</v>
      </c>
      <c r="D55" s="1" t="s">
        <v>34</v>
      </c>
      <c r="E55" s="1" t="s">
        <v>35</v>
      </c>
      <c r="F55" s="1" t="s">
        <v>108</v>
      </c>
      <c r="H55" s="1" t="n">
        <v>13.6</v>
      </c>
      <c r="I55" s="1" t="n">
        <v>10579282</v>
      </c>
      <c r="J55" s="1" t="n">
        <v>5904489</v>
      </c>
      <c r="K55" s="1" t="n">
        <v>119436</v>
      </c>
      <c r="L55" s="1" t="n">
        <v>6544927</v>
      </c>
      <c r="M55" s="1" t="n">
        <v>6284426</v>
      </c>
      <c r="N55" s="1" t="n">
        <v>473372</v>
      </c>
      <c r="O55" s="1" t="n">
        <v>1993235</v>
      </c>
      <c r="P55" s="1" t="n">
        <v>1918279</v>
      </c>
      <c r="Q55" s="1" t="n">
        <f aca="false">J55/$I55</f>
        <v>0.558118121815828</v>
      </c>
      <c r="R55" s="1" t="n">
        <f aca="false">K55/$I55</f>
        <v>0.0112896130380115</v>
      </c>
      <c r="S55" s="1" t="n">
        <f aca="false">L55/$I55</f>
        <v>0.618655122341951</v>
      </c>
      <c r="T55" s="1" t="n">
        <f aca="false">M55/$I55</f>
        <v>0.594031428597895</v>
      </c>
      <c r="U55" s="1" t="n">
        <f aca="false">N55/$I55</f>
        <v>0.0447451915923973</v>
      </c>
      <c r="V55" s="1" t="n">
        <f aca="false">O55/$I55</f>
        <v>0.188409289023584</v>
      </c>
      <c r="W55" s="1" t="n">
        <f aca="false">P55/$I55</f>
        <v>0.181324120105693</v>
      </c>
      <c r="X55" s="8" t="s">
        <v>109</v>
      </c>
      <c r="Y55" s="8" t="s">
        <v>112</v>
      </c>
      <c r="Z55" s="9" t="s">
        <v>110</v>
      </c>
    </row>
    <row r="56" customFormat="false" ht="15.75" hidden="false" customHeight="false" outlineLevel="0" collapsed="false">
      <c r="A56" s="1" t="n">
        <v>41</v>
      </c>
      <c r="B56" s="1" t="n">
        <v>1</v>
      </c>
      <c r="C56" s="1" t="s">
        <v>117</v>
      </c>
      <c r="D56" s="1" t="s">
        <v>34</v>
      </c>
      <c r="E56" s="1" t="s">
        <v>35</v>
      </c>
      <c r="F56" s="1" t="s">
        <v>74</v>
      </c>
      <c r="H56" s="1" t="n">
        <v>3.18</v>
      </c>
      <c r="I56" s="1" t="n">
        <v>10603994</v>
      </c>
      <c r="J56" s="1" t="n">
        <v>1310526</v>
      </c>
      <c r="K56" s="1" t="n">
        <v>25873</v>
      </c>
      <c r="L56" s="1" t="n">
        <v>2541305</v>
      </c>
      <c r="M56" s="1" t="n">
        <v>1938852</v>
      </c>
      <c r="N56" s="1" t="n">
        <v>186384</v>
      </c>
      <c r="O56" s="1" t="n">
        <v>1542725</v>
      </c>
      <c r="P56" s="1" t="n">
        <v>6972341</v>
      </c>
      <c r="Q56" s="1" t="n">
        <v>0.123587961290812</v>
      </c>
      <c r="R56" s="1" t="n">
        <v>0.0024399297095038</v>
      </c>
      <c r="S56" s="1" t="n">
        <v>0.239655454350502</v>
      </c>
      <c r="T56" s="1" t="n">
        <v>0.182841672675409</v>
      </c>
      <c r="U56" s="1" t="n">
        <v>0.0175767734308412</v>
      </c>
      <c r="V56" s="1" t="n">
        <v>0.145485276585407</v>
      </c>
      <c r="W56" s="1" t="n">
        <v>0.657520270192533</v>
      </c>
      <c r="X56" s="8" t="s">
        <v>71</v>
      </c>
      <c r="Y56" s="8" t="s">
        <v>112</v>
      </c>
      <c r="Z56" s="9" t="s">
        <v>113</v>
      </c>
    </row>
    <row r="57" customFormat="false" ht="15.75" hidden="false" customHeight="false" outlineLevel="0" collapsed="false">
      <c r="A57" s="1" t="n">
        <v>41</v>
      </c>
      <c r="B57" s="1" t="n">
        <v>1</v>
      </c>
      <c r="C57" s="1" t="s">
        <v>117</v>
      </c>
      <c r="D57" s="1" t="s">
        <v>34</v>
      </c>
      <c r="E57" s="1" t="s">
        <v>35</v>
      </c>
      <c r="F57" s="1" t="s">
        <v>118</v>
      </c>
      <c r="H57" s="1" t="n">
        <v>3.18</v>
      </c>
      <c r="X57" s="8" t="s">
        <v>71</v>
      </c>
      <c r="Y57" s="8" t="s">
        <v>112</v>
      </c>
      <c r="Z57" s="9" t="s">
        <v>113</v>
      </c>
    </row>
    <row r="58" customFormat="false" ht="15.75" hidden="false" customHeight="false" outlineLevel="0" collapsed="false">
      <c r="A58" s="1" t="n">
        <v>42</v>
      </c>
      <c r="B58" s="1" t="n">
        <v>1</v>
      </c>
      <c r="C58" s="1" t="s">
        <v>119</v>
      </c>
      <c r="D58" s="1" t="s">
        <v>34</v>
      </c>
      <c r="E58" s="1" t="s">
        <v>35</v>
      </c>
      <c r="F58" s="1" t="s">
        <v>69</v>
      </c>
      <c r="H58" s="1" t="n">
        <f aca="false">(21.2+12.2)/2</f>
        <v>16.7</v>
      </c>
      <c r="I58" s="1" t="n">
        <v>10435222</v>
      </c>
      <c r="J58" s="1" t="n">
        <v>5766499</v>
      </c>
      <c r="K58" s="1" t="n">
        <v>130018</v>
      </c>
      <c r="L58" s="1" t="n">
        <v>6149067</v>
      </c>
      <c r="M58" s="1" t="n">
        <v>6022792</v>
      </c>
      <c r="N58" s="1" t="n">
        <v>503155</v>
      </c>
      <c r="O58" s="1" t="n">
        <v>1433025</v>
      </c>
      <c r="P58" s="1" t="n">
        <v>2605207</v>
      </c>
      <c r="Q58" s="1" t="n">
        <v>0.552599551787207</v>
      </c>
      <c r="R58" s="1" t="n">
        <v>0.012459533683136</v>
      </c>
      <c r="S58" s="1" t="n">
        <v>0.589260774710878</v>
      </c>
      <c r="T58" s="1" t="n">
        <v>0.57715993009061</v>
      </c>
      <c r="U58" s="1" t="n">
        <v>0.048216990496225</v>
      </c>
      <c r="V58" s="1" t="n">
        <v>0.137325779940283</v>
      </c>
      <c r="W58" s="1" t="n">
        <v>0.24965515827071</v>
      </c>
      <c r="X58" s="8" t="s">
        <v>70</v>
      </c>
      <c r="Y58" s="8" t="s">
        <v>71</v>
      </c>
      <c r="Z58" s="9" t="s">
        <v>72</v>
      </c>
    </row>
    <row r="59" customFormat="false" ht="15.75" hidden="false" customHeight="false" outlineLevel="0" collapsed="false">
      <c r="A59" s="1" t="n">
        <v>43</v>
      </c>
      <c r="B59" s="1" t="n">
        <v>1</v>
      </c>
      <c r="C59" s="1" t="s">
        <v>120</v>
      </c>
      <c r="D59" s="1" t="s">
        <v>34</v>
      </c>
      <c r="E59" s="1" t="s">
        <v>35</v>
      </c>
      <c r="F59" s="1" t="s">
        <v>69</v>
      </c>
      <c r="H59" s="1" t="n">
        <v>15.9</v>
      </c>
      <c r="I59" s="1" t="n">
        <v>12414917</v>
      </c>
      <c r="J59" s="1" t="n">
        <v>4425791</v>
      </c>
      <c r="K59" s="1" t="n">
        <v>130570</v>
      </c>
      <c r="L59" s="1" t="n">
        <v>5522705</v>
      </c>
      <c r="M59" s="1" t="n">
        <v>5039533</v>
      </c>
      <c r="N59" s="1" t="n">
        <v>519134</v>
      </c>
      <c r="O59" s="1" t="n">
        <v>2903647</v>
      </c>
      <c r="P59" s="1" t="n">
        <v>4046349</v>
      </c>
      <c r="Q59" s="1" t="n">
        <v>0.356489777579665</v>
      </c>
      <c r="R59" s="1" t="n">
        <v>0.010517186703705</v>
      </c>
      <c r="S59" s="1" t="n">
        <v>0.444844294971928</v>
      </c>
      <c r="T59" s="1" t="n">
        <v>0.405925629627649</v>
      </c>
      <c r="U59" s="1" t="n">
        <v>0.04181534197933</v>
      </c>
      <c r="V59" s="1" t="n">
        <v>0.233883722299553</v>
      </c>
      <c r="W59" s="1" t="n">
        <v>0.325926383559391</v>
      </c>
      <c r="X59" s="8" t="s">
        <v>70</v>
      </c>
      <c r="Y59" s="8" t="s">
        <v>97</v>
      </c>
      <c r="Z59" s="9" t="s">
        <v>72</v>
      </c>
    </row>
    <row r="60" customFormat="false" ht="15.75" hidden="false" customHeight="false" outlineLevel="0" collapsed="false">
      <c r="A60" s="1" t="n">
        <v>44</v>
      </c>
      <c r="B60" s="1" t="n">
        <v>1</v>
      </c>
      <c r="C60" s="1" t="s">
        <v>121</v>
      </c>
      <c r="D60" s="1" t="s">
        <v>34</v>
      </c>
      <c r="E60" s="1" t="s">
        <v>35</v>
      </c>
      <c r="F60" s="1" t="s">
        <v>108</v>
      </c>
      <c r="H60" s="1" t="n">
        <v>19.9</v>
      </c>
      <c r="I60" s="1" t="n">
        <v>10588471</v>
      </c>
      <c r="J60" s="1" t="n">
        <v>6421315</v>
      </c>
      <c r="K60" s="1" t="n">
        <v>136558</v>
      </c>
      <c r="L60" s="1" t="n">
        <v>6546617</v>
      </c>
      <c r="M60" s="1" t="n">
        <v>6552245</v>
      </c>
      <c r="N60" s="1" t="n">
        <v>519872</v>
      </c>
      <c r="O60" s="1" t="n">
        <v>2195791</v>
      </c>
      <c r="P60" s="1" t="n">
        <v>1426371</v>
      </c>
      <c r="Q60" s="1" t="n">
        <f aca="false">J60/$I60</f>
        <v>0.606444027659895</v>
      </c>
      <c r="R60" s="1" t="n">
        <f aca="false">K60/$I60</f>
        <v>0.0128968573460701</v>
      </c>
      <c r="S60" s="1" t="n">
        <f aca="false">L60/$I60</f>
        <v>0.618277842003817</v>
      </c>
      <c r="T60" s="1" t="n">
        <f aca="false">M60/$I60</f>
        <v>0.618809363504891</v>
      </c>
      <c r="U60" s="1" t="n">
        <f aca="false">N60/$I60</f>
        <v>0.0490979292477639</v>
      </c>
      <c r="V60" s="1" t="n">
        <f aca="false">O60/$I60</f>
        <v>0.207375644698843</v>
      </c>
      <c r="W60" s="1" t="n">
        <f aca="false">P60/$I60</f>
        <v>0.134709817876443</v>
      </c>
      <c r="X60" s="8" t="s">
        <v>109</v>
      </c>
      <c r="Y60" s="8" t="s">
        <v>122</v>
      </c>
      <c r="Z60" s="9" t="s">
        <v>110</v>
      </c>
    </row>
    <row r="61" customFormat="false" ht="15.75" hidden="false" customHeight="false" outlineLevel="0" collapsed="false">
      <c r="A61" s="1" t="n">
        <v>45</v>
      </c>
      <c r="B61" s="1" t="n">
        <v>1</v>
      </c>
      <c r="C61" s="1" t="s">
        <v>123</v>
      </c>
      <c r="D61" s="1" t="s">
        <v>34</v>
      </c>
      <c r="E61" s="1" t="s">
        <v>35</v>
      </c>
      <c r="F61" s="1" t="s">
        <v>69</v>
      </c>
      <c r="H61" s="1" t="n">
        <v>19.3</v>
      </c>
      <c r="I61" s="1" t="n">
        <v>14753731</v>
      </c>
      <c r="J61" s="1" t="n">
        <v>5652593</v>
      </c>
      <c r="K61" s="1" t="n">
        <v>140284</v>
      </c>
      <c r="L61" s="1" t="n">
        <v>6654525</v>
      </c>
      <c r="M61" s="1" t="n">
        <v>6223701</v>
      </c>
      <c r="N61" s="1" t="n">
        <v>454817</v>
      </c>
      <c r="O61" s="1" t="n">
        <v>1211856</v>
      </c>
      <c r="P61" s="1" t="n">
        <v>6935168</v>
      </c>
      <c r="Q61" s="1" t="n">
        <v>0.383129731726842</v>
      </c>
      <c r="R61" s="1" t="n">
        <v>0.009508374525739</v>
      </c>
      <c r="S61" s="1" t="n">
        <v>0.451040147065173</v>
      </c>
      <c r="T61" s="1" t="n">
        <v>0.421839126658877</v>
      </c>
      <c r="U61" s="1" t="n">
        <v>0.030827253119906</v>
      </c>
      <c r="V61" s="1" t="n">
        <v>0.082138951835302</v>
      </c>
      <c r="W61" s="1" t="n">
        <v>0.470061979576556</v>
      </c>
      <c r="X61" s="8" t="s">
        <v>70</v>
      </c>
      <c r="Y61" s="8" t="s">
        <v>124</v>
      </c>
      <c r="Z61" s="9" t="s">
        <v>72</v>
      </c>
    </row>
    <row r="62" customFormat="false" ht="15.75" hidden="true" customHeight="false" outlineLevel="0" collapsed="false">
      <c r="A62" s="1" t="n">
        <v>46</v>
      </c>
      <c r="B62" s="1" t="n">
        <v>1</v>
      </c>
      <c r="C62" s="1" t="s">
        <v>125</v>
      </c>
      <c r="D62" s="1" t="s">
        <v>27</v>
      </c>
      <c r="E62" s="1" t="s">
        <v>35</v>
      </c>
      <c r="F62" s="1" t="s">
        <v>108</v>
      </c>
      <c r="H62" s="1" t="n">
        <v>36.4</v>
      </c>
      <c r="I62" s="1" t="n">
        <v>9819639</v>
      </c>
      <c r="J62" s="1" t="n">
        <v>984752</v>
      </c>
      <c r="K62" s="1" t="n">
        <v>18626</v>
      </c>
      <c r="L62" s="1" t="n">
        <v>1106806</v>
      </c>
      <c r="M62" s="1" t="n">
        <v>1055092</v>
      </c>
      <c r="N62" s="1" t="n">
        <v>147501</v>
      </c>
      <c r="O62" s="1" t="n">
        <v>973063</v>
      </c>
      <c r="P62" s="1" t="n">
        <v>7704467</v>
      </c>
      <c r="Q62" s="1" t="n">
        <f aca="false">J62/$I62</f>
        <v>0.100283931008054</v>
      </c>
      <c r="R62" s="1" t="n">
        <f aca="false">K62/$I62</f>
        <v>0.00189681107421566</v>
      </c>
      <c r="S62" s="1" t="n">
        <f aca="false">L62/$I62</f>
        <v>0.112713512176975</v>
      </c>
      <c r="T62" s="1" t="n">
        <f aca="false">M62/$I62</f>
        <v>0.107447127129623</v>
      </c>
      <c r="U62" s="1" t="n">
        <f aca="false">N62/$I62</f>
        <v>0.0150210206301881</v>
      </c>
      <c r="V62" s="1" t="n">
        <f aca="false">O62/$I62</f>
        <v>0.09909356138245</v>
      </c>
      <c r="W62" s="1" t="n">
        <f aca="false">P62/$I62</f>
        <v>0.784597784093692</v>
      </c>
      <c r="X62" s="8" t="s">
        <v>109</v>
      </c>
      <c r="Y62" s="8" t="s">
        <v>124</v>
      </c>
      <c r="Z62" s="9" t="s">
        <v>110</v>
      </c>
    </row>
    <row r="63" customFormat="false" ht="15.75" hidden="false" customHeight="false" outlineLevel="0" collapsed="false">
      <c r="A63" s="1" t="n">
        <v>47</v>
      </c>
      <c r="B63" s="1" t="n">
        <v>1</v>
      </c>
      <c r="C63" s="1" t="s">
        <v>126</v>
      </c>
      <c r="D63" s="1" t="s">
        <v>34</v>
      </c>
      <c r="E63" s="1" t="s">
        <v>35</v>
      </c>
      <c r="F63" s="1" t="s">
        <v>108</v>
      </c>
      <c r="H63" s="1" t="n">
        <v>37.2</v>
      </c>
      <c r="I63" s="1" t="n">
        <v>9635963</v>
      </c>
      <c r="J63" s="1" t="n">
        <v>2464554</v>
      </c>
      <c r="K63" s="1" t="n">
        <v>54017</v>
      </c>
      <c r="L63" s="1" t="n">
        <v>3117633</v>
      </c>
      <c r="M63" s="1" t="n">
        <v>2818102</v>
      </c>
      <c r="N63" s="1" t="n">
        <v>254877</v>
      </c>
      <c r="O63" s="1" t="n">
        <v>1219488</v>
      </c>
      <c r="P63" s="1" t="n">
        <v>5416541</v>
      </c>
      <c r="Q63" s="1" t="n">
        <f aca="false">J63/$I63</f>
        <v>0.255766237375548</v>
      </c>
      <c r="R63" s="1" t="n">
        <f aca="false">K63/$I63</f>
        <v>0.00560577079841423</v>
      </c>
      <c r="S63" s="1" t="n">
        <f aca="false">L63/$I63</f>
        <v>0.323541404216683</v>
      </c>
      <c r="T63" s="1" t="n">
        <f aca="false">M63/$I63</f>
        <v>0.292456706195323</v>
      </c>
      <c r="U63" s="1" t="n">
        <f aca="false">N63/$I63</f>
        <v>0.0264505996961591</v>
      </c>
      <c r="V63" s="1" t="n">
        <f aca="false">O63/$I63</f>
        <v>0.126555903130803</v>
      </c>
      <c r="W63" s="1" t="n">
        <f aca="false">P63/$I63</f>
        <v>0.562117247648211</v>
      </c>
      <c r="X63" s="8" t="s">
        <v>109</v>
      </c>
      <c r="Y63" s="8" t="s">
        <v>124</v>
      </c>
      <c r="Z63" s="9" t="s">
        <v>110</v>
      </c>
    </row>
    <row r="64" customFormat="false" ht="15.75" hidden="false" customHeight="false" outlineLevel="0" collapsed="false">
      <c r="A64" s="1" t="n">
        <v>48</v>
      </c>
      <c r="B64" s="1" t="n">
        <v>1</v>
      </c>
      <c r="C64" s="1" t="s">
        <v>127</v>
      </c>
      <c r="D64" s="1" t="s">
        <v>34</v>
      </c>
      <c r="E64" s="1" t="s">
        <v>35</v>
      </c>
      <c r="F64" s="1" t="s">
        <v>108</v>
      </c>
      <c r="H64" s="1" t="n">
        <v>6.2</v>
      </c>
      <c r="I64" s="1" t="n">
        <v>11750429</v>
      </c>
      <c r="J64" s="1" t="n">
        <v>6810782</v>
      </c>
      <c r="K64" s="1" t="n">
        <v>168184</v>
      </c>
      <c r="L64" s="1" t="n">
        <v>8179068</v>
      </c>
      <c r="M64" s="1" t="n">
        <v>7579017</v>
      </c>
      <c r="N64" s="1" t="n">
        <v>608733</v>
      </c>
      <c r="O64" s="1" t="n">
        <v>1651187</v>
      </c>
      <c r="P64" s="1" t="n">
        <v>1987783</v>
      </c>
      <c r="Q64" s="1" t="n">
        <f aca="false">J64/$I64</f>
        <v>0.579619858985574</v>
      </c>
      <c r="R64" s="1" t="n">
        <f aca="false">K64/$I64</f>
        <v>0.0143130093377867</v>
      </c>
      <c r="S64" s="1" t="n">
        <f aca="false">L64/$I64</f>
        <v>0.696065479822056</v>
      </c>
      <c r="T64" s="1" t="n">
        <f aca="false">M64/$I64</f>
        <v>0.644999174072708</v>
      </c>
      <c r="U64" s="1" t="n">
        <f aca="false">N64/$I64</f>
        <v>0.0518051723898762</v>
      </c>
      <c r="V64" s="1" t="n">
        <f aca="false">O64/$I64</f>
        <v>0.140521422664653</v>
      </c>
      <c r="W64" s="1" t="n">
        <f aca="false">P64/$I64</f>
        <v>0.16916684488711</v>
      </c>
      <c r="X64" s="8" t="s">
        <v>109</v>
      </c>
      <c r="Y64" s="8" t="s">
        <v>128</v>
      </c>
      <c r="Z64" s="9" t="s">
        <v>110</v>
      </c>
    </row>
    <row r="65" customFormat="false" ht="15.75" hidden="true" customHeight="false" outlineLevel="0" collapsed="false">
      <c r="A65" s="1" t="n">
        <v>49</v>
      </c>
      <c r="C65" s="1" t="s">
        <v>129</v>
      </c>
      <c r="E65" s="1" t="s">
        <v>35</v>
      </c>
      <c r="H65" s="1" t="n">
        <v>32</v>
      </c>
      <c r="X65" s="10"/>
      <c r="Y65" s="8" t="s">
        <v>75</v>
      </c>
      <c r="Z65" s="10"/>
    </row>
    <row r="66" customFormat="false" ht="15.75" hidden="true" customHeight="false" outlineLevel="0" collapsed="false">
      <c r="A66" s="1" t="n">
        <v>50</v>
      </c>
      <c r="C66" s="1" t="s">
        <v>130</v>
      </c>
      <c r="E66" s="1" t="s">
        <v>35</v>
      </c>
      <c r="H66" s="1" t="s">
        <v>38</v>
      </c>
      <c r="X66" s="10"/>
      <c r="Y66" s="8" t="s">
        <v>75</v>
      </c>
      <c r="Z66" s="10"/>
    </row>
    <row r="67" customFormat="false" ht="15.75" hidden="true" customHeight="false" outlineLevel="0" collapsed="false">
      <c r="A67" s="1" t="n">
        <v>51</v>
      </c>
      <c r="C67" s="1" t="s">
        <v>131</v>
      </c>
      <c r="E67" s="1" t="s">
        <v>35</v>
      </c>
      <c r="H67" s="1" t="n">
        <v>17.6</v>
      </c>
      <c r="X67" s="10"/>
      <c r="Y67" s="8" t="s">
        <v>85</v>
      </c>
      <c r="Z67" s="10"/>
    </row>
    <row r="68" customFormat="false" ht="15.75" hidden="true" customHeight="false" outlineLevel="0" collapsed="false">
      <c r="A68" s="1" t="n">
        <v>52</v>
      </c>
      <c r="C68" s="1" t="s">
        <v>132</v>
      </c>
      <c r="E68" s="1" t="s">
        <v>35</v>
      </c>
      <c r="H68" s="1" t="n">
        <v>102</v>
      </c>
      <c r="X68" s="10"/>
      <c r="Y68" s="8" t="s">
        <v>133</v>
      </c>
      <c r="Z68" s="10"/>
    </row>
    <row r="69" customFormat="false" ht="15.75" hidden="true" customHeight="false" outlineLevel="0" collapsed="false">
      <c r="A69" s="1" t="n">
        <v>1001</v>
      </c>
      <c r="B69" s="1" t="n">
        <v>1</v>
      </c>
      <c r="C69" s="1" t="s">
        <v>134</v>
      </c>
      <c r="D69" s="1" t="s">
        <v>27</v>
      </c>
      <c r="E69" s="1" t="s">
        <v>99</v>
      </c>
      <c r="F69" s="1" t="s">
        <v>29</v>
      </c>
      <c r="G69" s="1" t="n">
        <v>158</v>
      </c>
      <c r="I69" s="1" t="n">
        <v>5282178</v>
      </c>
      <c r="J69" s="1" t="n">
        <v>2682561</v>
      </c>
      <c r="K69" s="1" t="n">
        <v>51663</v>
      </c>
      <c r="L69" s="1" t="n">
        <v>2991780</v>
      </c>
      <c r="M69" s="1" t="n">
        <v>2863002</v>
      </c>
      <c r="N69" s="1" t="n">
        <v>256966</v>
      </c>
      <c r="O69" s="1" t="n">
        <v>1185445</v>
      </c>
      <c r="P69" s="1" t="n">
        <v>1048278</v>
      </c>
      <c r="Q69" s="1" t="n">
        <v>0.507851306790494</v>
      </c>
      <c r="R69" s="1" t="n">
        <v>0.00978062458326849</v>
      </c>
      <c r="S69" s="1" t="n">
        <v>0.566391363562531</v>
      </c>
      <c r="T69" s="1" t="n">
        <v>0.542011647468147</v>
      </c>
      <c r="U69" s="1" t="n">
        <v>0.0486477358392693</v>
      </c>
      <c r="V69" s="1" t="n">
        <v>0.224423523781289</v>
      </c>
      <c r="W69" s="1" t="n">
        <v>0.198455637049717</v>
      </c>
      <c r="X69" s="8" t="s">
        <v>135</v>
      </c>
      <c r="Y69" s="8" t="s">
        <v>136</v>
      </c>
      <c r="Z69" s="9" t="s">
        <v>137</v>
      </c>
    </row>
    <row r="70" customFormat="false" ht="15.75" hidden="true" customHeight="false" outlineLevel="0" collapsed="false">
      <c r="A70" s="1" t="n">
        <v>1001</v>
      </c>
      <c r="B70" s="1" t="n">
        <v>1</v>
      </c>
      <c r="C70" s="1" t="s">
        <v>134</v>
      </c>
      <c r="D70" s="1" t="s">
        <v>27</v>
      </c>
      <c r="E70" s="1" t="s">
        <v>99</v>
      </c>
      <c r="F70" s="1" t="s">
        <v>29</v>
      </c>
      <c r="G70" s="1" t="n">
        <v>158</v>
      </c>
      <c r="I70" s="1" t="n">
        <v>10421469</v>
      </c>
      <c r="J70" s="1" t="n">
        <v>1808843</v>
      </c>
      <c r="K70" s="1" t="n">
        <v>70050</v>
      </c>
      <c r="L70" s="1" t="n">
        <v>5777023</v>
      </c>
      <c r="M70" s="1" t="n">
        <v>3827958</v>
      </c>
      <c r="N70" s="1" t="n">
        <v>491887</v>
      </c>
      <c r="O70" s="1" t="n">
        <v>3384943</v>
      </c>
      <c r="P70" s="1" t="n">
        <v>2911209</v>
      </c>
      <c r="Q70" s="1" t="n">
        <v>0.173568908567497</v>
      </c>
      <c r="R70" s="1" t="n">
        <v>0.00672170113445619</v>
      </c>
      <c r="S70" s="1" t="n">
        <v>0.554338644580721</v>
      </c>
      <c r="T70" s="1" t="n">
        <v>0.367314627141337</v>
      </c>
      <c r="U70" s="1" t="n">
        <v>0.0471993919475268</v>
      </c>
      <c r="V70" s="1" t="n">
        <v>0.324804785198709</v>
      </c>
      <c r="W70" s="1" t="n">
        <v>0.279347278200415</v>
      </c>
      <c r="X70" s="8" t="s">
        <v>30</v>
      </c>
      <c r="Y70" s="8" t="s">
        <v>136</v>
      </c>
      <c r="Z70" s="9" t="s">
        <v>137</v>
      </c>
    </row>
    <row r="71" customFormat="false" ht="15.75" hidden="true" customHeight="false" outlineLevel="0" collapsed="false">
      <c r="A71" s="1" t="n">
        <v>1001</v>
      </c>
      <c r="B71" s="1" t="n">
        <v>1</v>
      </c>
      <c r="C71" s="1" t="s">
        <v>134</v>
      </c>
      <c r="E71" s="1" t="s">
        <v>99</v>
      </c>
      <c r="F71" s="1" t="s">
        <v>29</v>
      </c>
      <c r="G71" s="1" t="n">
        <v>158</v>
      </c>
      <c r="X71" s="8" t="s">
        <v>30</v>
      </c>
      <c r="Y71" s="8" t="s">
        <v>136</v>
      </c>
      <c r="Z71" s="9" t="s">
        <v>137</v>
      </c>
    </row>
    <row r="72" customFormat="false" ht="15.75" hidden="false" customHeight="false" outlineLevel="0" collapsed="false">
      <c r="A72" s="1" t="n">
        <v>1001</v>
      </c>
      <c r="B72" s="1" t="n">
        <v>1</v>
      </c>
      <c r="C72" s="1" t="s">
        <v>134</v>
      </c>
      <c r="D72" s="1" t="s">
        <v>34</v>
      </c>
      <c r="E72" s="1" t="s">
        <v>99</v>
      </c>
      <c r="F72" s="1" t="s">
        <v>29</v>
      </c>
      <c r="G72" s="1" t="n">
        <v>158</v>
      </c>
      <c r="I72" s="1" t="n">
        <v>12448794</v>
      </c>
      <c r="J72" s="1" t="n">
        <v>7662328</v>
      </c>
      <c r="K72" s="1" t="n">
        <v>148738</v>
      </c>
      <c r="L72" s="1" t="n">
        <v>7848338</v>
      </c>
      <c r="M72" s="1" t="n">
        <v>7829702</v>
      </c>
      <c r="N72" s="1" t="n">
        <v>857081</v>
      </c>
      <c r="O72" s="1" t="n">
        <v>3286310</v>
      </c>
      <c r="P72" s="1" t="n">
        <v>697591</v>
      </c>
      <c r="Q72" s="1" t="n">
        <v>0.615507654797726</v>
      </c>
      <c r="R72" s="1" t="n">
        <v>0.0119479846802831</v>
      </c>
      <c r="S72" s="1" t="n">
        <v>0.630449664441391</v>
      </c>
      <c r="T72" s="1" t="n">
        <v>0.6289526519597</v>
      </c>
      <c r="U72" s="1" t="n">
        <v>0.0688485165711634</v>
      </c>
      <c r="V72" s="1" t="n">
        <v>0.263986214246938</v>
      </c>
      <c r="W72" s="1" t="n">
        <v>0.0560368337687972</v>
      </c>
      <c r="X72" s="8" t="s">
        <v>138</v>
      </c>
      <c r="Y72" s="8" t="s">
        <v>136</v>
      </c>
      <c r="Z72" s="9" t="s">
        <v>139</v>
      </c>
    </row>
    <row r="73" customFormat="false" ht="15.75" hidden="true" customHeight="false" outlineLevel="0" collapsed="false">
      <c r="A73" s="1" t="n">
        <v>1002</v>
      </c>
      <c r="B73" s="1" t="n">
        <v>1</v>
      </c>
      <c r="C73" s="1" t="s">
        <v>140</v>
      </c>
      <c r="D73" s="1" t="s">
        <v>27</v>
      </c>
      <c r="E73" s="1" t="s">
        <v>99</v>
      </c>
      <c r="F73" s="1" t="s">
        <v>29</v>
      </c>
      <c r="G73" s="1" t="n">
        <v>202</v>
      </c>
      <c r="I73" s="1" t="n">
        <v>5667472</v>
      </c>
      <c r="J73" s="1" t="n">
        <v>3844507</v>
      </c>
      <c r="K73" s="1" t="n">
        <v>74986</v>
      </c>
      <c r="L73" s="1" t="n">
        <v>3723735</v>
      </c>
      <c r="M73" s="1" t="n">
        <v>3821614</v>
      </c>
      <c r="N73" s="1" t="n">
        <v>216354</v>
      </c>
      <c r="O73" s="1" t="n">
        <v>879425</v>
      </c>
      <c r="P73" s="1" t="n">
        <v>791307</v>
      </c>
      <c r="Q73" s="1" t="n">
        <v>0.678346006826324</v>
      </c>
      <c r="R73" s="1" t="n">
        <v>0.0132309431788988</v>
      </c>
      <c r="S73" s="1" t="n">
        <v>0.657036329425183</v>
      </c>
      <c r="T73" s="1" t="n">
        <v>0.674306639715203</v>
      </c>
      <c r="U73" s="1" t="n">
        <v>0.0381746923496049</v>
      </c>
      <c r="V73" s="1" t="n">
        <v>0.155170594579029</v>
      </c>
      <c r="W73" s="1" t="n">
        <v>0.139622568933733</v>
      </c>
      <c r="X73" s="8" t="s">
        <v>135</v>
      </c>
      <c r="Y73" s="8" t="s">
        <v>136</v>
      </c>
      <c r="Z73" s="9" t="s">
        <v>137</v>
      </c>
    </row>
    <row r="74" customFormat="false" ht="15.75" hidden="true" customHeight="false" outlineLevel="0" collapsed="false">
      <c r="A74" s="1" t="n">
        <v>1002</v>
      </c>
      <c r="B74" s="1" t="n">
        <v>1</v>
      </c>
      <c r="C74" s="1" t="s">
        <v>140</v>
      </c>
      <c r="D74" s="1" t="s">
        <v>27</v>
      </c>
      <c r="E74" s="1" t="s">
        <v>99</v>
      </c>
      <c r="F74" s="1" t="s">
        <v>29</v>
      </c>
      <c r="G74" s="1" t="n">
        <v>202</v>
      </c>
      <c r="I74" s="1" t="n">
        <v>12982262</v>
      </c>
      <c r="J74" s="1" t="n">
        <v>3715800</v>
      </c>
      <c r="K74" s="1" t="n">
        <v>97786</v>
      </c>
      <c r="L74" s="1" t="n">
        <v>7841362</v>
      </c>
      <c r="M74" s="1" t="n">
        <v>5827474</v>
      </c>
      <c r="N74" s="1" t="n">
        <v>379449</v>
      </c>
      <c r="O74" s="1" t="n">
        <v>3803192</v>
      </c>
      <c r="P74" s="1" t="n">
        <v>3030983</v>
      </c>
      <c r="Q74" s="1" t="n">
        <v>0.286221307195926</v>
      </c>
      <c r="R74" s="1" t="n">
        <v>0.00753227750294979</v>
      </c>
      <c r="S74" s="1" t="n">
        <v>0.604005835038609</v>
      </c>
      <c r="T74" s="1" t="n">
        <v>0.448879709868742</v>
      </c>
      <c r="U74" s="1" t="n">
        <v>0.02922826545944</v>
      </c>
      <c r="V74" s="1" t="n">
        <v>0.292952953807279</v>
      </c>
      <c r="W74" s="1" t="n">
        <v>0.233471100798921</v>
      </c>
      <c r="X74" s="8" t="s">
        <v>30</v>
      </c>
      <c r="Y74" s="8" t="s">
        <v>136</v>
      </c>
      <c r="Z74" s="9" t="s">
        <v>137</v>
      </c>
    </row>
    <row r="75" customFormat="false" ht="15.75" hidden="true" customHeight="false" outlineLevel="0" collapsed="false">
      <c r="A75" s="1" t="n">
        <v>1002</v>
      </c>
      <c r="B75" s="1" t="n">
        <v>1</v>
      </c>
      <c r="C75" s="1" t="s">
        <v>140</v>
      </c>
      <c r="E75" s="1" t="s">
        <v>99</v>
      </c>
      <c r="F75" s="1" t="s">
        <v>29</v>
      </c>
      <c r="G75" s="1" t="n">
        <v>202</v>
      </c>
      <c r="X75" s="8" t="s">
        <v>30</v>
      </c>
      <c r="Y75" s="8" t="s">
        <v>136</v>
      </c>
      <c r="Z75" s="9" t="s">
        <v>137</v>
      </c>
    </row>
    <row r="76" customFormat="false" ht="15.75" hidden="false" customHeight="false" outlineLevel="0" collapsed="false">
      <c r="A76" s="1" t="n">
        <v>1002</v>
      </c>
      <c r="B76" s="1" t="n">
        <v>1</v>
      </c>
      <c r="C76" s="1" t="s">
        <v>140</v>
      </c>
      <c r="D76" s="1" t="s">
        <v>34</v>
      </c>
      <c r="E76" s="1" t="s">
        <v>99</v>
      </c>
      <c r="F76" s="1" t="s">
        <v>29</v>
      </c>
      <c r="G76" s="1" t="n">
        <v>202</v>
      </c>
      <c r="I76" s="1" t="n">
        <v>8578824</v>
      </c>
      <c r="J76" s="1" t="n">
        <v>5656823</v>
      </c>
      <c r="K76" s="1" t="n">
        <v>107917</v>
      </c>
      <c r="L76" s="1" t="n">
        <v>5448606</v>
      </c>
      <c r="M76" s="1" t="n">
        <v>5606673</v>
      </c>
      <c r="N76" s="1" t="n">
        <v>368713</v>
      </c>
      <c r="O76" s="1" t="n">
        <v>1308026</v>
      </c>
      <c r="P76" s="1" t="n">
        <v>1364893</v>
      </c>
      <c r="Q76" s="1" t="n">
        <v>0.659393758398587</v>
      </c>
      <c r="R76" s="1" t="n">
        <v>0.0125794631058989</v>
      </c>
      <c r="S76" s="1" t="n">
        <v>0.635122716120531</v>
      </c>
      <c r="T76" s="1" t="n">
        <v>0.653547968812509</v>
      </c>
      <c r="U76" s="1" t="n">
        <v>0.042979434011002</v>
      </c>
      <c r="V76" s="1" t="n">
        <v>0.152471480939579</v>
      </c>
      <c r="W76" s="1" t="n">
        <v>0.159100244975302</v>
      </c>
      <c r="X76" s="8" t="s">
        <v>138</v>
      </c>
      <c r="Y76" s="8" t="s">
        <v>136</v>
      </c>
      <c r="Z76" s="9" t="s">
        <v>139</v>
      </c>
    </row>
    <row r="77" customFormat="false" ht="15.75" hidden="false" customHeight="false" outlineLevel="0" collapsed="false">
      <c r="A77" s="1" t="n">
        <v>1003</v>
      </c>
      <c r="B77" s="1" t="n">
        <v>1</v>
      </c>
      <c r="C77" s="1" t="s">
        <v>141</v>
      </c>
      <c r="D77" s="1" t="s">
        <v>34</v>
      </c>
      <c r="E77" s="1" t="s">
        <v>99</v>
      </c>
      <c r="F77" s="1" t="s">
        <v>59</v>
      </c>
      <c r="G77" s="1" t="n">
        <v>116</v>
      </c>
      <c r="H77" s="1" t="n">
        <v>28.6</v>
      </c>
      <c r="I77" s="1" t="n">
        <v>7002392</v>
      </c>
      <c r="J77" s="1" t="n">
        <v>1843116</v>
      </c>
      <c r="K77" s="1" t="n">
        <v>35701</v>
      </c>
      <c r="L77" s="1" t="n">
        <v>2681319</v>
      </c>
      <c r="M77" s="1" t="n">
        <v>2280068</v>
      </c>
      <c r="N77" s="1" t="n">
        <v>246389</v>
      </c>
      <c r="O77" s="1" t="n">
        <v>1612485</v>
      </c>
      <c r="P77" s="1" t="n">
        <v>2960598</v>
      </c>
      <c r="Q77" s="1" t="n">
        <v>0.263212342296747</v>
      </c>
      <c r="R77" s="1" t="n">
        <v>0.00509840066080277</v>
      </c>
      <c r="S77" s="1" t="n">
        <v>0.382914723997171</v>
      </c>
      <c r="T77" s="1" t="n">
        <v>0.32561273347736</v>
      </c>
      <c r="U77" s="1" t="n">
        <v>0.0351864048742201</v>
      </c>
      <c r="V77" s="1" t="n">
        <v>0.230276311294769</v>
      </c>
      <c r="W77" s="1" t="n">
        <v>0.422798095279442</v>
      </c>
      <c r="X77" s="8" t="s">
        <v>60</v>
      </c>
      <c r="Y77" s="8" t="s">
        <v>93</v>
      </c>
      <c r="Z77" s="9" t="s">
        <v>61</v>
      </c>
    </row>
    <row r="78" customFormat="false" ht="15.75" hidden="false" customHeight="false" outlineLevel="0" collapsed="false">
      <c r="A78" s="1" t="n">
        <v>1003</v>
      </c>
      <c r="B78" s="1" t="n">
        <v>1</v>
      </c>
      <c r="C78" s="1" t="s">
        <v>141</v>
      </c>
      <c r="D78" s="1" t="s">
        <v>34</v>
      </c>
      <c r="E78" s="1" t="s">
        <v>99</v>
      </c>
      <c r="F78" s="1" t="s">
        <v>37</v>
      </c>
      <c r="H78" s="1" t="n">
        <v>28.6</v>
      </c>
      <c r="I78" s="1" t="n">
        <v>11873353</v>
      </c>
      <c r="J78" s="1" t="n">
        <v>3126358</v>
      </c>
      <c r="K78" s="1" t="n">
        <v>60415</v>
      </c>
      <c r="L78" s="1" t="n">
        <v>4535809</v>
      </c>
      <c r="M78" s="1" t="n">
        <v>3861291</v>
      </c>
      <c r="N78" s="1" t="n">
        <v>418112</v>
      </c>
      <c r="O78" s="1" t="n">
        <v>2739147</v>
      </c>
      <c r="P78" s="1" t="n">
        <v>5019637</v>
      </c>
      <c r="Q78" s="1" t="n">
        <v>0.263308772172444</v>
      </c>
      <c r="R78" s="1" t="n">
        <v>0.005088284665671</v>
      </c>
      <c r="S78" s="1" t="n">
        <v>0.382015846745229</v>
      </c>
      <c r="T78" s="1" t="n">
        <v>0.325206451791672</v>
      </c>
      <c r="U78" s="1" t="n">
        <v>0.035214315619185</v>
      </c>
      <c r="V78" s="1" t="n">
        <v>0.23069700698699</v>
      </c>
      <c r="W78" s="1" t="n">
        <v>0.422764908952004</v>
      </c>
      <c r="X78" s="8" t="s">
        <v>60</v>
      </c>
      <c r="Y78" s="8" t="s">
        <v>93</v>
      </c>
      <c r="Z78" s="9" t="s">
        <v>61</v>
      </c>
    </row>
    <row r="79" customFormat="false" ht="15.75" hidden="true" customHeight="false" outlineLevel="0" collapsed="false">
      <c r="A79" s="1" t="n">
        <v>1004</v>
      </c>
      <c r="B79" s="1" t="n">
        <v>1</v>
      </c>
      <c r="C79" s="1" t="s">
        <v>142</v>
      </c>
      <c r="D79" s="1" t="s">
        <v>27</v>
      </c>
      <c r="E79" s="1" t="s">
        <v>99</v>
      </c>
      <c r="F79" s="1" t="s">
        <v>52</v>
      </c>
      <c r="G79" s="1" t="n">
        <v>138</v>
      </c>
      <c r="H79" s="1" t="n">
        <v>93</v>
      </c>
      <c r="I79" s="1" t="n">
        <v>3655384</v>
      </c>
      <c r="J79" s="1" t="n">
        <v>57565</v>
      </c>
      <c r="K79" s="1" t="n">
        <v>1035</v>
      </c>
      <c r="L79" s="1" t="n">
        <v>2349024</v>
      </c>
      <c r="M79" s="1" t="n">
        <v>1203812</v>
      </c>
      <c r="N79" s="1" t="n">
        <v>62046</v>
      </c>
      <c r="O79" s="1" t="n">
        <v>4551</v>
      </c>
      <c r="P79" s="1" t="n">
        <v>2385062</v>
      </c>
      <c r="Q79" s="1" t="n">
        <v>0.0157480034929299</v>
      </c>
      <c r="R79" s="1" t="n">
        <v>0.000283143987061277</v>
      </c>
      <c r="S79" s="1" t="n">
        <v>0.642620310205439</v>
      </c>
      <c r="T79" s="1" t="n">
        <v>0.329325728842715</v>
      </c>
      <c r="U79" s="1" t="n">
        <v>0.0169738664939169</v>
      </c>
      <c r="V79" s="1" t="n">
        <v>0.00124501283586075</v>
      </c>
      <c r="W79" s="1" t="n">
        <v>0.652479192336564</v>
      </c>
      <c r="X79" s="8" t="s">
        <v>53</v>
      </c>
      <c r="Y79" s="8" t="s">
        <v>93</v>
      </c>
      <c r="Z79" s="9" t="s">
        <v>54</v>
      </c>
    </row>
    <row r="80" customFormat="false" ht="15.75" hidden="false" customHeight="false" outlineLevel="0" collapsed="false">
      <c r="A80" s="1" t="n">
        <v>1004</v>
      </c>
      <c r="B80" s="1" t="n">
        <v>1</v>
      </c>
      <c r="C80" s="1" t="s">
        <v>142</v>
      </c>
      <c r="D80" s="1" t="s">
        <v>34</v>
      </c>
      <c r="E80" s="1" t="s">
        <v>99</v>
      </c>
      <c r="F80" s="1" t="s">
        <v>74</v>
      </c>
      <c r="H80" s="1" t="n">
        <v>122</v>
      </c>
      <c r="I80" s="1" t="n">
        <v>7338506</v>
      </c>
      <c r="J80" s="1" t="n">
        <v>2944453</v>
      </c>
      <c r="K80" s="1" t="n">
        <v>61292</v>
      </c>
      <c r="L80" s="1" t="n">
        <v>2991543</v>
      </c>
      <c r="M80" s="1" t="n">
        <v>2998644</v>
      </c>
      <c r="N80" s="1" t="n">
        <v>239185</v>
      </c>
      <c r="O80" s="1" t="n">
        <v>1631283</v>
      </c>
      <c r="P80" s="1" t="n">
        <v>2539519</v>
      </c>
      <c r="Q80" s="1" t="n">
        <v>0.401233302800325</v>
      </c>
      <c r="R80" s="1" t="n">
        <v>0.00835210872621757</v>
      </c>
      <c r="S80" s="1" t="n">
        <v>0.407650140232903</v>
      </c>
      <c r="T80" s="1" t="n">
        <v>0.408617775879723</v>
      </c>
      <c r="U80" s="1" t="n">
        <v>0.032593146343411</v>
      </c>
      <c r="V80" s="1" t="n">
        <v>0.222290885910565</v>
      </c>
      <c r="W80" s="1" t="n">
        <v>0.34605395158088</v>
      </c>
      <c r="X80" s="8" t="s">
        <v>64</v>
      </c>
      <c r="Y80" s="8" t="s">
        <v>103</v>
      </c>
      <c r="Z80" s="9" t="s">
        <v>65</v>
      </c>
    </row>
    <row r="81" customFormat="false" ht="15.75" hidden="false" customHeight="false" outlineLevel="0" collapsed="false">
      <c r="A81" s="1" t="n">
        <v>1005</v>
      </c>
      <c r="B81" s="1" t="n">
        <v>1</v>
      </c>
      <c r="C81" s="1" t="s">
        <v>143</v>
      </c>
      <c r="D81" s="1" t="s">
        <v>34</v>
      </c>
      <c r="E81" s="1" t="s">
        <v>99</v>
      </c>
      <c r="F81" s="1" t="s">
        <v>59</v>
      </c>
      <c r="G81" s="1" t="n">
        <v>228.9</v>
      </c>
      <c r="H81" s="1" t="n">
        <v>24.4</v>
      </c>
      <c r="I81" s="1" t="n">
        <v>7668400</v>
      </c>
      <c r="J81" s="1" t="n">
        <v>1896333</v>
      </c>
      <c r="K81" s="1" t="n">
        <v>37949</v>
      </c>
      <c r="L81" s="1" t="n">
        <v>4067012</v>
      </c>
      <c r="M81" s="1" t="n">
        <v>3000647</v>
      </c>
      <c r="N81" s="1" t="n">
        <v>375962</v>
      </c>
      <c r="O81" s="1" t="n">
        <v>3101277</v>
      </c>
      <c r="P81" s="1" t="n">
        <v>1348693</v>
      </c>
      <c r="Q81" s="1" t="n">
        <v>0.247291873141724</v>
      </c>
      <c r="R81" s="1" t="n">
        <v>0.00494875071722915</v>
      </c>
      <c r="S81" s="1" t="n">
        <v>0.530359918627093</v>
      </c>
      <c r="T81" s="1" t="n">
        <v>0.391300271243023</v>
      </c>
      <c r="U81" s="1" t="n">
        <v>0.0490274372750509</v>
      </c>
      <c r="V81" s="1" t="n">
        <v>0.404422956548954</v>
      </c>
      <c r="W81" s="1" t="n">
        <v>0.175876714829691</v>
      </c>
      <c r="X81" s="8" t="s">
        <v>60</v>
      </c>
      <c r="Y81" s="8" t="s">
        <v>93</v>
      </c>
      <c r="Z81" s="9" t="s">
        <v>61</v>
      </c>
    </row>
    <row r="82" customFormat="false" ht="15.75" hidden="false" customHeight="false" outlineLevel="0" collapsed="false">
      <c r="A82" s="1" t="n">
        <v>1005</v>
      </c>
      <c r="B82" s="1" t="n">
        <v>1</v>
      </c>
      <c r="C82" s="1" t="s">
        <v>143</v>
      </c>
      <c r="D82" s="1" t="s">
        <v>34</v>
      </c>
      <c r="E82" s="1" t="s">
        <v>99</v>
      </c>
      <c r="F82" s="1" t="s">
        <v>37</v>
      </c>
      <c r="H82" s="1" t="n">
        <v>24.4</v>
      </c>
      <c r="I82" s="1" t="n">
        <v>11372186</v>
      </c>
      <c r="J82" s="1" t="n">
        <v>2820191</v>
      </c>
      <c r="K82" s="1" t="n">
        <v>55984</v>
      </c>
      <c r="L82" s="1" t="n">
        <v>5988747</v>
      </c>
      <c r="M82" s="1" t="n">
        <v>4432461</v>
      </c>
      <c r="N82" s="1" t="n">
        <v>556599</v>
      </c>
      <c r="O82" s="1" t="n">
        <v>4614377</v>
      </c>
      <c r="P82" s="1" t="n">
        <v>2003296</v>
      </c>
      <c r="Q82" s="1" t="n">
        <v>0.247990228088074</v>
      </c>
      <c r="R82" s="1" t="n">
        <v>0.004922888176468</v>
      </c>
      <c r="S82" s="1" t="n">
        <v>0.526613528832539</v>
      </c>
      <c r="T82" s="1" t="n">
        <v>0.389763322548541</v>
      </c>
      <c r="U82" s="1" t="n">
        <v>0.048943888184734</v>
      </c>
      <c r="V82" s="1" t="n">
        <v>0.405759895239139</v>
      </c>
      <c r="W82" s="1" t="n">
        <v>0.176157512724467</v>
      </c>
      <c r="X82" s="8" t="s">
        <v>60</v>
      </c>
      <c r="Y82" s="8" t="s">
        <v>93</v>
      </c>
      <c r="Z82" s="9" t="s">
        <v>61</v>
      </c>
    </row>
    <row r="83" customFormat="false" ht="15.75" hidden="true" customHeight="false" outlineLevel="0" collapsed="false">
      <c r="A83" s="1" t="n">
        <v>1007</v>
      </c>
      <c r="B83" s="1" t="n">
        <v>1</v>
      </c>
      <c r="C83" s="1" t="s">
        <v>144</v>
      </c>
      <c r="D83" s="1" t="s">
        <v>27</v>
      </c>
      <c r="E83" s="1" t="s">
        <v>99</v>
      </c>
      <c r="F83" s="1" t="s">
        <v>52</v>
      </c>
      <c r="G83" s="1" t="n">
        <v>173</v>
      </c>
      <c r="H83" s="1" t="n">
        <v>78.6</v>
      </c>
      <c r="I83" s="1" t="n">
        <v>1775870</v>
      </c>
      <c r="J83" s="1" t="n">
        <v>28598</v>
      </c>
      <c r="K83" s="1" t="n">
        <v>738</v>
      </c>
      <c r="L83" s="1" t="n">
        <v>204064</v>
      </c>
      <c r="M83" s="1" t="n">
        <v>116700</v>
      </c>
      <c r="N83" s="1" t="n">
        <v>9260</v>
      </c>
      <c r="O83" s="1" t="n">
        <v>9014</v>
      </c>
      <c r="P83" s="1" t="n">
        <v>1641475</v>
      </c>
      <c r="Q83" s="1" t="n">
        <v>0.0161036562360984</v>
      </c>
      <c r="R83" s="1" t="n">
        <v>0.000415570959586006</v>
      </c>
      <c r="S83" s="1" t="n">
        <v>0.1149093120555</v>
      </c>
      <c r="T83" s="1" t="n">
        <v>0.065714269625592</v>
      </c>
      <c r="U83" s="1" t="n">
        <v>0.00521434564466994</v>
      </c>
      <c r="V83" s="1" t="n">
        <v>0.0050758219914746</v>
      </c>
      <c r="W83" s="1" t="n">
        <v>0.924321600117126</v>
      </c>
      <c r="X83" s="8" t="s">
        <v>53</v>
      </c>
      <c r="Y83" s="8" t="s">
        <v>93</v>
      </c>
      <c r="Z83" s="9" t="s">
        <v>54</v>
      </c>
    </row>
    <row r="84" customFormat="false" ht="15.75" hidden="false" customHeight="false" outlineLevel="0" collapsed="false">
      <c r="A84" s="1" t="n">
        <v>1007</v>
      </c>
      <c r="B84" s="1" t="n">
        <v>1</v>
      </c>
      <c r="C84" s="1" t="s">
        <v>144</v>
      </c>
      <c r="D84" s="1" t="s">
        <v>34</v>
      </c>
      <c r="E84" s="1" t="s">
        <v>99</v>
      </c>
      <c r="F84" s="1" t="s">
        <v>83</v>
      </c>
      <c r="H84" s="1" t="n">
        <v>116</v>
      </c>
      <c r="I84" s="1" t="n">
        <v>12325829</v>
      </c>
      <c r="J84" s="1" t="n">
        <v>3054558</v>
      </c>
      <c r="K84" s="1" t="n">
        <v>56342</v>
      </c>
      <c r="L84" s="1" t="n">
        <v>3234352</v>
      </c>
      <c r="M84" s="1" t="n">
        <v>3172626</v>
      </c>
      <c r="N84" s="1" t="n">
        <v>330195</v>
      </c>
      <c r="O84" s="1" t="n">
        <v>1630692</v>
      </c>
      <c r="P84" s="1" t="n">
        <v>7320373</v>
      </c>
      <c r="Q84" s="1" t="n">
        <v>0.24781765185936</v>
      </c>
      <c r="R84" s="1" t="n">
        <v>0.00457105156983762</v>
      </c>
      <c r="S84" s="1" t="n">
        <v>0.262404419207828</v>
      </c>
      <c r="T84" s="1" t="n">
        <v>0.257396561318513</v>
      </c>
      <c r="U84" s="1" t="n">
        <v>0.0267888675074107</v>
      </c>
      <c r="V84" s="1" t="n">
        <v>0.132298768707565</v>
      </c>
      <c r="W84" s="1" t="n">
        <v>0.593905123947444</v>
      </c>
      <c r="X84" s="8" t="s">
        <v>67</v>
      </c>
      <c r="Y84" s="8" t="s">
        <v>103</v>
      </c>
      <c r="Z84" s="9" t="s">
        <v>68</v>
      </c>
    </row>
    <row r="85" customFormat="false" ht="15.75" hidden="true" customHeight="false" outlineLevel="0" collapsed="false">
      <c r="A85" s="1" t="n">
        <v>1008</v>
      </c>
      <c r="C85" s="1" t="s">
        <v>145</v>
      </c>
      <c r="E85" s="1" t="s">
        <v>99</v>
      </c>
      <c r="G85" s="1" t="n">
        <v>9.4</v>
      </c>
      <c r="H85" s="1" t="s">
        <v>38</v>
      </c>
      <c r="X85" s="10"/>
      <c r="Y85" s="8" t="s">
        <v>93</v>
      </c>
      <c r="Z85" s="10"/>
    </row>
    <row r="86" customFormat="false" ht="15.75" hidden="true" customHeight="false" outlineLevel="0" collapsed="false">
      <c r="A86" s="1" t="n">
        <v>1008</v>
      </c>
      <c r="B86" s="1" t="n">
        <v>1</v>
      </c>
      <c r="C86" s="1" t="s">
        <v>145</v>
      </c>
      <c r="D86" s="1" t="s">
        <v>27</v>
      </c>
      <c r="E86" s="1" t="s">
        <v>99</v>
      </c>
      <c r="F86" s="1" t="s">
        <v>83</v>
      </c>
      <c r="H86" s="1" t="n">
        <v>4</v>
      </c>
      <c r="I86" s="1" t="n">
        <v>9692289</v>
      </c>
      <c r="J86" s="1" t="n">
        <v>54730</v>
      </c>
      <c r="K86" s="1" t="n">
        <v>1151</v>
      </c>
      <c r="L86" s="1" t="n">
        <v>228223</v>
      </c>
      <c r="M86" s="1" t="n">
        <v>142052</v>
      </c>
      <c r="N86" s="1" t="n">
        <v>12235</v>
      </c>
      <c r="O86" s="1" t="n">
        <v>490720</v>
      </c>
      <c r="P86" s="1" t="n">
        <v>9050288</v>
      </c>
      <c r="Q86" s="1" t="n">
        <v>0.0056467569219201</v>
      </c>
      <c r="R86" s="1" t="n">
        <v>0.00011875419727992</v>
      </c>
      <c r="S86" s="1" t="n">
        <v>0.0235468628721244</v>
      </c>
      <c r="T86" s="1" t="n">
        <v>0.0146561869956622</v>
      </c>
      <c r="U86" s="1" t="n">
        <v>0.00126234370436127</v>
      </c>
      <c r="V86" s="1" t="n">
        <v>0.0506299389132949</v>
      </c>
      <c r="W86" s="1" t="n">
        <v>0.933761673841958</v>
      </c>
      <c r="X86" s="8" t="s">
        <v>67</v>
      </c>
      <c r="Y86" s="8" t="s">
        <v>103</v>
      </c>
      <c r="Z86" s="9" t="s">
        <v>68</v>
      </c>
    </row>
    <row r="87" customFormat="false" ht="15.75" hidden="true" customHeight="false" outlineLevel="0" collapsed="false">
      <c r="A87" s="1" t="n">
        <v>1009</v>
      </c>
      <c r="C87" s="1" t="s">
        <v>146</v>
      </c>
      <c r="E87" s="1" t="s">
        <v>99</v>
      </c>
      <c r="G87" s="1" t="n">
        <v>4.5</v>
      </c>
      <c r="H87" s="1" t="s">
        <v>38</v>
      </c>
      <c r="X87" s="10"/>
      <c r="Y87" s="8" t="s">
        <v>93</v>
      </c>
      <c r="Z87" s="10"/>
    </row>
    <row r="88" customFormat="false" ht="15.75" hidden="true" customHeight="false" outlineLevel="0" collapsed="false">
      <c r="A88" s="1" t="n">
        <v>1009</v>
      </c>
      <c r="C88" s="1" t="s">
        <v>146</v>
      </c>
      <c r="E88" s="1" t="s">
        <v>99</v>
      </c>
      <c r="H88" s="1" t="n">
        <v>4.2</v>
      </c>
      <c r="X88" s="8" t="s">
        <v>67</v>
      </c>
      <c r="Y88" s="8" t="s">
        <v>103</v>
      </c>
      <c r="Z88" s="9" t="s">
        <v>68</v>
      </c>
    </row>
    <row r="89" customFormat="false" ht="15.75" hidden="true" customHeight="false" outlineLevel="0" collapsed="false">
      <c r="A89" s="1" t="n">
        <v>1009</v>
      </c>
      <c r="B89" s="1" t="n">
        <v>1</v>
      </c>
      <c r="C89" s="1" t="s">
        <v>146</v>
      </c>
      <c r="D89" s="1" t="s">
        <v>27</v>
      </c>
      <c r="E89" s="1" t="s">
        <v>99</v>
      </c>
      <c r="F89" s="1" t="s">
        <v>69</v>
      </c>
      <c r="H89" s="1" t="n">
        <v>4.2</v>
      </c>
      <c r="I89" s="1" t="n">
        <v>19152250</v>
      </c>
      <c r="J89" s="1" t="n">
        <v>753593</v>
      </c>
      <c r="K89" s="1" t="n">
        <v>15423</v>
      </c>
      <c r="L89" s="1" t="n">
        <v>945274</v>
      </c>
      <c r="M89" s="1" t="n">
        <v>857145</v>
      </c>
      <c r="N89" s="1" t="n">
        <v>82970</v>
      </c>
      <c r="O89" s="1" t="n">
        <v>769806</v>
      </c>
      <c r="P89" s="1" t="n">
        <v>17472575</v>
      </c>
      <c r="Q89" s="1" t="n">
        <v>0.039347491809056</v>
      </c>
      <c r="R89" s="1" t="n">
        <v>0.000805283974468</v>
      </c>
      <c r="S89" s="1" t="n">
        <v>0.049355767599107</v>
      </c>
      <c r="T89" s="1" t="n">
        <v>0.044754271691316</v>
      </c>
      <c r="U89" s="1" t="n">
        <v>0.004332128078946</v>
      </c>
      <c r="V89" s="1" t="n">
        <v>0.040194024200812</v>
      </c>
      <c r="W89" s="1" t="n">
        <v>0.912298816065998</v>
      </c>
      <c r="X89" s="8" t="s">
        <v>70</v>
      </c>
      <c r="Y89" s="8" t="s">
        <v>105</v>
      </c>
      <c r="Z89" s="9" t="s">
        <v>72</v>
      </c>
    </row>
    <row r="90" customFormat="false" ht="15.75" hidden="true" customHeight="false" outlineLevel="0" collapsed="false">
      <c r="A90" s="1" t="n">
        <v>1010</v>
      </c>
      <c r="B90" s="1" t="n">
        <v>1</v>
      </c>
      <c r="C90" s="1" t="s">
        <v>147</v>
      </c>
      <c r="D90" s="1" t="s">
        <v>27</v>
      </c>
      <c r="E90" s="1" t="s">
        <v>99</v>
      </c>
      <c r="F90" s="1" t="s">
        <v>59</v>
      </c>
      <c r="G90" s="1" t="n">
        <v>331</v>
      </c>
      <c r="H90" s="1" t="n">
        <v>29</v>
      </c>
      <c r="I90" s="1" t="n">
        <v>3204794</v>
      </c>
      <c r="J90" s="1" t="n">
        <v>596752</v>
      </c>
      <c r="K90" s="1" t="n">
        <v>14301</v>
      </c>
      <c r="L90" s="1" t="n">
        <v>901041</v>
      </c>
      <c r="M90" s="1" t="n">
        <v>756047</v>
      </c>
      <c r="N90" s="1" t="n">
        <v>80986</v>
      </c>
      <c r="O90" s="1" t="n">
        <v>396079</v>
      </c>
      <c r="P90" s="1" t="n">
        <v>1989996</v>
      </c>
      <c r="Q90" s="1" t="n">
        <v>0.186206040076211</v>
      </c>
      <c r="R90" s="1" t="n">
        <v>0.00446237730100593</v>
      </c>
      <c r="S90" s="1" t="n">
        <v>0.281154108501202</v>
      </c>
      <c r="T90" s="1" t="n">
        <v>0.235911262939209</v>
      </c>
      <c r="U90" s="1" t="n">
        <v>0.0252702669812787</v>
      </c>
      <c r="V90" s="1" t="n">
        <v>0.123589534927986</v>
      </c>
      <c r="W90" s="1" t="n">
        <v>0.62094349902053</v>
      </c>
      <c r="X90" s="8" t="s">
        <v>60</v>
      </c>
      <c r="Y90" s="8" t="s">
        <v>93</v>
      </c>
      <c r="Z90" s="9" t="s">
        <v>61</v>
      </c>
    </row>
    <row r="91" customFormat="false" ht="15.75" hidden="true" customHeight="false" outlineLevel="0" collapsed="false">
      <c r="A91" s="1" t="n">
        <v>1010</v>
      </c>
      <c r="C91" s="1" t="s">
        <v>147</v>
      </c>
      <c r="E91" s="1" t="s">
        <v>99</v>
      </c>
      <c r="H91" s="1" t="n">
        <v>108</v>
      </c>
      <c r="X91" s="8" t="s">
        <v>70</v>
      </c>
      <c r="Y91" s="8" t="s">
        <v>105</v>
      </c>
      <c r="Z91" s="9" t="s">
        <v>72</v>
      </c>
    </row>
    <row r="92" customFormat="false" ht="15.75" hidden="false" customHeight="false" outlineLevel="0" collapsed="false">
      <c r="A92" s="1" t="n">
        <v>1011</v>
      </c>
      <c r="B92" s="1" t="n">
        <v>1</v>
      </c>
      <c r="C92" s="1" t="s">
        <v>148</v>
      </c>
      <c r="D92" s="1" t="s">
        <v>34</v>
      </c>
      <c r="E92" s="1" t="s">
        <v>99</v>
      </c>
      <c r="F92" s="1" t="s">
        <v>52</v>
      </c>
      <c r="G92" s="1" t="n">
        <v>316</v>
      </c>
      <c r="H92" s="1" t="n">
        <v>116</v>
      </c>
      <c r="I92" s="1" t="n">
        <v>7784962</v>
      </c>
      <c r="J92" s="1" t="n">
        <v>2599497</v>
      </c>
      <c r="K92" s="1" t="n">
        <v>44935</v>
      </c>
      <c r="L92" s="1" t="n">
        <v>2647036</v>
      </c>
      <c r="M92" s="1" t="n">
        <v>2645734</v>
      </c>
      <c r="N92" s="1" t="n">
        <v>258734</v>
      </c>
      <c r="O92" s="1" t="n">
        <v>1586973</v>
      </c>
      <c r="P92" s="1" t="n">
        <v>3365329</v>
      </c>
      <c r="Q92" s="1" t="n">
        <v>0.333912612547113</v>
      </c>
      <c r="R92" s="1" t="n">
        <v>0.00577202560526307</v>
      </c>
      <c r="S92" s="1" t="n">
        <v>0.340019129187785</v>
      </c>
      <c r="T92" s="1" t="n">
        <v>0.339851883670081</v>
      </c>
      <c r="U92" s="1" t="n">
        <v>0.0332351012117978</v>
      </c>
      <c r="V92" s="1" t="n">
        <v>0.203851091373343</v>
      </c>
      <c r="W92" s="1" t="n">
        <v>0.432285860868685</v>
      </c>
      <c r="X92" s="8" t="s">
        <v>53</v>
      </c>
      <c r="Y92" s="8" t="s">
        <v>93</v>
      </c>
      <c r="Z92" s="9" t="s">
        <v>54</v>
      </c>
    </row>
    <row r="93" customFormat="false" ht="15.75" hidden="true" customHeight="false" outlineLevel="0" collapsed="false">
      <c r="A93" s="1" t="n">
        <v>1011</v>
      </c>
      <c r="B93" s="1" t="n">
        <v>1</v>
      </c>
      <c r="C93" s="1" t="s">
        <v>148</v>
      </c>
      <c r="D93" s="1" t="s">
        <v>27</v>
      </c>
      <c r="E93" s="1" t="s">
        <v>99</v>
      </c>
      <c r="F93" s="1" t="s">
        <v>52</v>
      </c>
      <c r="G93" s="1" t="n">
        <v>316</v>
      </c>
      <c r="H93" s="1" t="n">
        <v>116</v>
      </c>
      <c r="I93" s="1" t="n">
        <v>6347111</v>
      </c>
      <c r="J93" s="1" t="n">
        <v>2240714</v>
      </c>
      <c r="K93" s="1" t="n">
        <v>42008</v>
      </c>
      <c r="L93" s="1" t="n">
        <v>2260754</v>
      </c>
      <c r="M93" s="1" t="n">
        <v>2271738</v>
      </c>
      <c r="N93" s="1" t="n">
        <v>223193</v>
      </c>
      <c r="O93" s="1" t="n">
        <v>1220280</v>
      </c>
      <c r="P93" s="1" t="n">
        <v>2696131</v>
      </c>
      <c r="Q93" s="1" t="n">
        <v>0.353028960735049</v>
      </c>
      <c r="R93" s="1" t="n">
        <v>0.00661844420240957</v>
      </c>
      <c r="S93" s="1" t="n">
        <v>0.356186302713156</v>
      </c>
      <c r="T93" s="1" t="n">
        <v>0.357916853825307</v>
      </c>
      <c r="U93" s="1" t="n">
        <v>0.0351645024011712</v>
      </c>
      <c r="V93" s="1" t="n">
        <v>0.192257548355464</v>
      </c>
      <c r="W93" s="1" t="n">
        <v>0.424780817603473</v>
      </c>
      <c r="X93" s="8" t="s">
        <v>53</v>
      </c>
      <c r="Y93" s="8" t="s">
        <v>93</v>
      </c>
      <c r="Z93" s="9" t="s">
        <v>54</v>
      </c>
    </row>
    <row r="94" customFormat="false" ht="15.75" hidden="false" customHeight="false" outlineLevel="0" collapsed="false">
      <c r="A94" s="1" t="n">
        <v>1012</v>
      </c>
      <c r="B94" s="1" t="n">
        <v>1</v>
      </c>
      <c r="C94" s="1" t="s">
        <v>149</v>
      </c>
      <c r="D94" s="1" t="s">
        <v>34</v>
      </c>
      <c r="E94" s="1" t="s">
        <v>99</v>
      </c>
      <c r="F94" s="1" t="s">
        <v>83</v>
      </c>
      <c r="H94" s="1" t="n">
        <v>4</v>
      </c>
      <c r="I94" s="1" t="n">
        <v>14018429</v>
      </c>
      <c r="J94" s="1" t="n">
        <v>1101279</v>
      </c>
      <c r="K94" s="1" t="n">
        <v>24657</v>
      </c>
      <c r="L94" s="1" t="n">
        <v>1578482</v>
      </c>
      <c r="M94" s="1" t="n">
        <v>1352209</v>
      </c>
      <c r="N94" s="1" t="n">
        <v>147797</v>
      </c>
      <c r="O94" s="1" t="n">
        <v>1455131</v>
      </c>
      <c r="P94" s="1" t="n">
        <v>11110517</v>
      </c>
      <c r="Q94" s="1" t="n">
        <v>0.0785593735218119</v>
      </c>
      <c r="R94" s="1" t="n">
        <v>0.00175889894652247</v>
      </c>
      <c r="S94" s="1" t="n">
        <v>0.112600491824013</v>
      </c>
      <c r="T94" s="1" t="n">
        <v>0.0964593821461734</v>
      </c>
      <c r="U94" s="1" t="n">
        <v>0.0105430501520534</v>
      </c>
      <c r="V94" s="1" t="n">
        <v>0.103801289003211</v>
      </c>
      <c r="W94" s="1" t="n">
        <v>0.792565058466965</v>
      </c>
      <c r="X94" s="8" t="s">
        <v>67</v>
      </c>
      <c r="Y94" s="8" t="s">
        <v>103</v>
      </c>
      <c r="Z94" s="9" t="s">
        <v>68</v>
      </c>
    </row>
    <row r="95" customFormat="false" ht="15.75" hidden="false" customHeight="false" outlineLevel="0" collapsed="false">
      <c r="A95" s="1" t="n">
        <v>1012</v>
      </c>
      <c r="B95" s="1" t="n">
        <v>1</v>
      </c>
      <c r="C95" s="1" t="s">
        <v>149</v>
      </c>
      <c r="D95" s="1" t="s">
        <v>34</v>
      </c>
      <c r="E95" s="1" t="s">
        <v>99</v>
      </c>
      <c r="F95" s="1" t="s">
        <v>118</v>
      </c>
      <c r="H95" s="1" t="n">
        <v>4</v>
      </c>
      <c r="X95" s="8" t="s">
        <v>67</v>
      </c>
      <c r="Y95" s="8" t="s">
        <v>103</v>
      </c>
      <c r="Z95" s="9" t="s">
        <v>68</v>
      </c>
    </row>
    <row r="96" customFormat="false" ht="15.75" hidden="true" customHeight="false" outlineLevel="0" collapsed="false">
      <c r="A96" s="1" t="n">
        <v>1013</v>
      </c>
      <c r="C96" s="1" t="s">
        <v>150</v>
      </c>
      <c r="E96" s="1" t="s">
        <v>99</v>
      </c>
      <c r="H96" s="1" t="n">
        <v>2.1</v>
      </c>
      <c r="X96" s="10"/>
      <c r="Y96" s="8" t="s">
        <v>112</v>
      </c>
      <c r="Z96" s="10"/>
    </row>
    <row r="97" customFormat="false" ht="15.75" hidden="true" customHeight="false" outlineLevel="0" collapsed="false">
      <c r="A97" s="1" t="n">
        <v>1014</v>
      </c>
      <c r="C97" s="1" t="s">
        <v>151</v>
      </c>
      <c r="E97" s="1" t="s">
        <v>99</v>
      </c>
      <c r="H97" s="1" t="s">
        <v>38</v>
      </c>
      <c r="X97" s="10"/>
      <c r="Y97" s="8" t="s">
        <v>112</v>
      </c>
      <c r="Z97" s="10"/>
    </row>
    <row r="98" customFormat="false" ht="15.75" hidden="true" customHeight="false" outlineLevel="0" collapsed="false">
      <c r="A98" s="1" t="n">
        <v>1015</v>
      </c>
      <c r="B98" s="1" t="n">
        <v>1</v>
      </c>
      <c r="C98" s="1" t="s">
        <v>152</v>
      </c>
      <c r="D98" s="1" t="s">
        <v>27</v>
      </c>
      <c r="E98" s="1" t="s">
        <v>99</v>
      </c>
      <c r="F98" s="1" t="s">
        <v>74</v>
      </c>
      <c r="H98" s="1" t="n">
        <v>10.2</v>
      </c>
      <c r="I98" s="1" t="n">
        <v>8563586</v>
      </c>
      <c r="J98" s="1" t="n">
        <v>289745</v>
      </c>
      <c r="K98" s="1" t="n">
        <v>6329</v>
      </c>
      <c r="L98" s="1" t="n">
        <v>358828</v>
      </c>
      <c r="M98" s="1" t="n">
        <v>327451</v>
      </c>
      <c r="N98" s="1" t="n">
        <v>53651</v>
      </c>
      <c r="O98" s="1" t="n">
        <v>842999</v>
      </c>
      <c r="P98" s="1" t="n">
        <v>7364504</v>
      </c>
      <c r="Q98" s="1" t="n">
        <v>0.0338345408103568</v>
      </c>
      <c r="R98" s="1" t="n">
        <v>0.000739059548184604</v>
      </c>
      <c r="S98" s="1" t="n">
        <v>0.0419016052387399</v>
      </c>
      <c r="T98" s="1" t="n">
        <v>0.0382376027986407</v>
      </c>
      <c r="U98" s="1" t="n">
        <v>0.00626501561378609</v>
      </c>
      <c r="V98" s="1" t="n">
        <v>0.0984399526086385</v>
      </c>
      <c r="W98" s="1" t="n">
        <v>0.859978985439044</v>
      </c>
      <c r="X98" s="8" t="s">
        <v>64</v>
      </c>
      <c r="Y98" s="8" t="s">
        <v>105</v>
      </c>
      <c r="Z98" s="9" t="s">
        <v>65</v>
      </c>
    </row>
    <row r="99" customFormat="false" ht="15.75" hidden="false" customHeight="false" outlineLevel="0" collapsed="false">
      <c r="A99" s="1" t="n">
        <v>1016</v>
      </c>
      <c r="B99" s="1" t="n">
        <v>1</v>
      </c>
      <c r="C99" s="1" t="s">
        <v>153</v>
      </c>
      <c r="D99" s="1" t="s">
        <v>34</v>
      </c>
      <c r="E99" s="1" t="s">
        <v>99</v>
      </c>
      <c r="F99" s="1" t="s">
        <v>74</v>
      </c>
      <c r="H99" s="1" t="n">
        <v>56.2</v>
      </c>
      <c r="I99" s="1" t="n">
        <v>10861339</v>
      </c>
      <c r="J99" s="1" t="n">
        <v>1603067</v>
      </c>
      <c r="K99" s="1" t="n">
        <v>32339</v>
      </c>
      <c r="L99" s="1" t="n">
        <v>1853332</v>
      </c>
      <c r="M99" s="1" t="n">
        <v>1744369</v>
      </c>
      <c r="N99" s="1" t="n">
        <v>211505</v>
      </c>
      <c r="O99" s="1" t="n">
        <v>2334282</v>
      </c>
      <c r="P99" s="1" t="n">
        <v>6651496</v>
      </c>
      <c r="Q99" s="1" t="n">
        <v>0.147593864808013</v>
      </c>
      <c r="R99" s="1" t="n">
        <v>0.00297744136335308</v>
      </c>
      <c r="S99" s="1" t="n">
        <v>0.170635683132623</v>
      </c>
      <c r="T99" s="1" t="n">
        <v>0.160603494651995</v>
      </c>
      <c r="U99" s="1" t="n">
        <v>0.0194731975495839</v>
      </c>
      <c r="V99" s="1" t="n">
        <v>0.214916595458442</v>
      </c>
      <c r="W99" s="1" t="n">
        <v>0.612401104504702</v>
      </c>
      <c r="X99" s="8" t="s">
        <v>64</v>
      </c>
      <c r="Y99" s="8" t="s">
        <v>105</v>
      </c>
      <c r="Z99" s="9" t="s">
        <v>65</v>
      </c>
    </row>
    <row r="100" customFormat="false" ht="15.75" hidden="false" customHeight="false" outlineLevel="0" collapsed="false">
      <c r="A100" s="1" t="n">
        <v>1016</v>
      </c>
      <c r="B100" s="1" t="n">
        <v>1</v>
      </c>
      <c r="C100" s="1" t="s">
        <v>153</v>
      </c>
      <c r="D100" s="1" t="s">
        <v>34</v>
      </c>
      <c r="E100" s="1" t="s">
        <v>99</v>
      </c>
      <c r="F100" s="1" t="s">
        <v>154</v>
      </c>
      <c r="X100" s="8" t="s">
        <v>64</v>
      </c>
      <c r="Y100" s="8" t="s">
        <v>105</v>
      </c>
      <c r="Z100" s="9" t="s">
        <v>65</v>
      </c>
    </row>
    <row r="101" customFormat="false" ht="15.75" hidden="true" customHeight="false" outlineLevel="0" collapsed="false">
      <c r="A101" s="1" t="n">
        <v>1017</v>
      </c>
      <c r="B101" s="1" t="n">
        <v>1</v>
      </c>
      <c r="C101" s="1" t="s">
        <v>155</v>
      </c>
      <c r="D101" s="1" t="s">
        <v>27</v>
      </c>
      <c r="E101" s="1" t="s">
        <v>99</v>
      </c>
      <c r="F101" s="1" t="s">
        <v>63</v>
      </c>
      <c r="H101" s="1" t="s">
        <v>38</v>
      </c>
      <c r="I101" s="1" t="n">
        <v>3466848</v>
      </c>
      <c r="J101" s="1" t="n">
        <v>638851</v>
      </c>
      <c r="K101" s="1" t="n">
        <v>12196</v>
      </c>
      <c r="L101" s="1" t="n">
        <v>1057477</v>
      </c>
      <c r="M101" s="1" t="n">
        <v>854262</v>
      </c>
      <c r="N101" s="1" t="n">
        <v>69207</v>
      </c>
      <c r="O101" s="1" t="n">
        <v>379343</v>
      </c>
      <c r="P101" s="1" t="n">
        <v>2177811</v>
      </c>
      <c r="Q101" s="1" t="n">
        <v>0.184274303344133</v>
      </c>
      <c r="R101" s="1" t="n">
        <v>0.003517892910217</v>
      </c>
      <c r="S101" s="1" t="n">
        <v>0.305025487128366</v>
      </c>
      <c r="T101" s="1" t="n">
        <v>0.246408841691358</v>
      </c>
      <c r="U101" s="1" t="n">
        <v>0.0199625134992939</v>
      </c>
      <c r="V101" s="1" t="n">
        <v>0.109420141869502</v>
      </c>
      <c r="W101" s="1" t="n">
        <v>0.628181852795392</v>
      </c>
      <c r="X101" s="8" t="s">
        <v>64</v>
      </c>
      <c r="Y101" s="8" t="s">
        <v>105</v>
      </c>
      <c r="Z101" s="9" t="s">
        <v>65</v>
      </c>
    </row>
    <row r="102" customFormat="false" ht="15.75" hidden="true" customHeight="false" outlineLevel="0" collapsed="false">
      <c r="A102" s="1" t="n">
        <v>1018</v>
      </c>
      <c r="B102" s="1" t="n">
        <v>1</v>
      </c>
      <c r="C102" s="1" t="s">
        <v>156</v>
      </c>
      <c r="D102" s="1" t="s">
        <v>27</v>
      </c>
      <c r="E102" s="1" t="s">
        <v>99</v>
      </c>
      <c r="F102" s="1" t="s">
        <v>74</v>
      </c>
      <c r="H102" s="1" t="n">
        <v>4.8</v>
      </c>
      <c r="I102" s="1" t="n">
        <v>9476626</v>
      </c>
      <c r="J102" s="1" t="n">
        <v>14495</v>
      </c>
      <c r="K102" s="1" t="n">
        <v>258</v>
      </c>
      <c r="L102" s="1" t="n">
        <v>29087</v>
      </c>
      <c r="M102" s="1" t="n">
        <v>21920</v>
      </c>
      <c r="N102" s="1" t="n">
        <v>3690</v>
      </c>
      <c r="O102" s="1" t="n">
        <v>35850</v>
      </c>
      <c r="P102" s="1" t="n">
        <v>9416673</v>
      </c>
      <c r="Q102" s="1" t="n">
        <v>0.00152955281763784</v>
      </c>
      <c r="R102" s="1" t="n">
        <v>2.72248794032813E-005</v>
      </c>
      <c r="S102" s="1" t="n">
        <v>0.003069341345749</v>
      </c>
      <c r="T102" s="1" t="n">
        <v>0.00231305952139506</v>
      </c>
      <c r="U102" s="1" t="n">
        <v>0.000389379089139953</v>
      </c>
      <c r="V102" s="1" t="n">
        <v>0.00378299196359548</v>
      </c>
      <c r="W102" s="1" t="n">
        <v>0.993673592267965</v>
      </c>
      <c r="X102" s="8" t="s">
        <v>64</v>
      </c>
      <c r="Y102" s="8" t="s">
        <v>105</v>
      </c>
      <c r="Z102" s="9" t="s">
        <v>65</v>
      </c>
    </row>
    <row r="103" customFormat="false" ht="15.75" hidden="false" customHeight="false" outlineLevel="0" collapsed="false">
      <c r="A103" s="1" t="n">
        <v>1020</v>
      </c>
      <c r="B103" s="1" t="n">
        <v>1</v>
      </c>
      <c r="C103" s="1" t="s">
        <v>157</v>
      </c>
      <c r="D103" s="1" t="s">
        <v>34</v>
      </c>
      <c r="E103" s="1" t="s">
        <v>99</v>
      </c>
      <c r="F103" s="1" t="s">
        <v>74</v>
      </c>
      <c r="H103" s="1" t="n">
        <v>11.6</v>
      </c>
      <c r="I103" s="1" t="n">
        <v>9329319</v>
      </c>
      <c r="J103" s="1" t="n">
        <v>3698826</v>
      </c>
      <c r="K103" s="1" t="n">
        <v>72574</v>
      </c>
      <c r="L103" s="1" t="n">
        <v>3574140</v>
      </c>
      <c r="M103" s="1" t="n">
        <v>3672770</v>
      </c>
      <c r="N103" s="1" t="n">
        <v>187699</v>
      </c>
      <c r="O103" s="1" t="n">
        <v>1254280</v>
      </c>
      <c r="P103" s="1" t="n">
        <v>4245672</v>
      </c>
      <c r="Q103" s="1" t="n">
        <v>0.396473311717608</v>
      </c>
      <c r="R103" s="1" t="n">
        <v>0.00777913157434106</v>
      </c>
      <c r="S103" s="1" t="n">
        <v>0.383108349065993</v>
      </c>
      <c r="T103" s="1" t="n">
        <v>0.393680396178971</v>
      </c>
      <c r="U103" s="1" t="n">
        <v>0.0201192605805418</v>
      </c>
      <c r="V103" s="1" t="n">
        <v>0.134444968598458</v>
      </c>
      <c r="W103" s="1" t="n">
        <v>0.455089165672221</v>
      </c>
      <c r="X103" s="8" t="s">
        <v>64</v>
      </c>
      <c r="Y103" s="8" t="s">
        <v>105</v>
      </c>
      <c r="Z103" s="9" t="s">
        <v>65</v>
      </c>
    </row>
    <row r="104" customFormat="false" ht="15.75" hidden="false" customHeight="false" outlineLevel="0" collapsed="false">
      <c r="A104" s="1" t="n">
        <v>1021</v>
      </c>
      <c r="B104" s="1" t="n">
        <v>1</v>
      </c>
      <c r="C104" s="1" t="s">
        <v>158</v>
      </c>
      <c r="D104" s="1" t="s">
        <v>34</v>
      </c>
      <c r="E104" s="1" t="s">
        <v>99</v>
      </c>
      <c r="F104" s="1" t="s">
        <v>37</v>
      </c>
      <c r="H104" s="1" t="n">
        <v>7.8</v>
      </c>
      <c r="I104" s="1" t="n">
        <v>2875429</v>
      </c>
      <c r="J104" s="1" t="n">
        <v>928151</v>
      </c>
      <c r="K104" s="1" t="n">
        <v>14484</v>
      </c>
      <c r="L104" s="1" t="n">
        <v>1029791</v>
      </c>
      <c r="M104" s="1" t="n">
        <v>986213</v>
      </c>
      <c r="N104" s="1" t="n">
        <v>165403</v>
      </c>
      <c r="O104" s="1" t="n">
        <v>1102460</v>
      </c>
      <c r="P104" s="1" t="n">
        <v>674363</v>
      </c>
      <c r="Q104" s="1" t="n">
        <v>0.322786965005917</v>
      </c>
      <c r="R104" s="1" t="n">
        <v>0.005037161411393</v>
      </c>
      <c r="S104" s="1" t="n">
        <v>0.358134733982303</v>
      </c>
      <c r="T104" s="1" t="n">
        <v>0.342979430199807</v>
      </c>
      <c r="U104" s="1" t="n">
        <v>0.057522894844561</v>
      </c>
      <c r="V104" s="1" t="n">
        <v>0.383407136813324</v>
      </c>
      <c r="W104" s="1" t="n">
        <v>0.234526048113168</v>
      </c>
      <c r="X104" s="8" t="s">
        <v>64</v>
      </c>
      <c r="Y104" s="8" t="s">
        <v>105</v>
      </c>
      <c r="Z104" s="9" t="s">
        <v>65</v>
      </c>
    </row>
    <row r="105" customFormat="false" ht="15.75" hidden="false" customHeight="false" outlineLevel="0" collapsed="false">
      <c r="A105" s="1" t="n">
        <v>1021</v>
      </c>
      <c r="B105" s="1" t="n">
        <v>1</v>
      </c>
      <c r="C105" s="1" t="s">
        <v>158</v>
      </c>
      <c r="D105" s="1" t="s">
        <v>34</v>
      </c>
      <c r="E105" s="1" t="s">
        <v>99</v>
      </c>
      <c r="F105" s="1" t="s">
        <v>74</v>
      </c>
      <c r="H105" s="1" t="n">
        <v>7.8</v>
      </c>
      <c r="I105" s="1" t="n">
        <v>3904959</v>
      </c>
      <c r="J105" s="1" t="n">
        <v>1253464</v>
      </c>
      <c r="K105" s="1" t="n">
        <v>19607</v>
      </c>
      <c r="L105" s="1" t="n">
        <v>1393167</v>
      </c>
      <c r="M105" s="1" t="n">
        <v>1333119</v>
      </c>
      <c r="N105" s="1" t="n">
        <v>224999</v>
      </c>
      <c r="O105" s="1" t="n">
        <v>1491245</v>
      </c>
      <c r="P105" s="1" t="n">
        <v>927366</v>
      </c>
      <c r="Q105" s="1" t="n">
        <v>0.320992870859848</v>
      </c>
      <c r="R105" s="1" t="n">
        <v>0.00502105143741586</v>
      </c>
      <c r="S105" s="1" t="n">
        <v>0.35676866261592</v>
      </c>
      <c r="T105" s="1" t="n">
        <v>0.341391292456592</v>
      </c>
      <c r="U105" s="1" t="n">
        <v>0.0576187867785552</v>
      </c>
      <c r="V105" s="1" t="n">
        <v>0.381884931442302</v>
      </c>
      <c r="W105" s="1" t="n">
        <v>0.237484183572734</v>
      </c>
      <c r="X105" s="8" t="s">
        <v>64</v>
      </c>
      <c r="Y105" s="8" t="s">
        <v>105</v>
      </c>
      <c r="Z105" s="9" t="s">
        <v>65</v>
      </c>
    </row>
    <row r="106" customFormat="false" ht="15.75" hidden="true" customHeight="false" outlineLevel="0" collapsed="false">
      <c r="A106" s="1" t="n">
        <v>1022</v>
      </c>
      <c r="C106" s="1" t="s">
        <v>159</v>
      </c>
      <c r="E106" s="1" t="s">
        <v>99</v>
      </c>
      <c r="H106" s="1" t="s">
        <v>38</v>
      </c>
      <c r="X106" s="10"/>
      <c r="Y106" s="8" t="s">
        <v>97</v>
      </c>
      <c r="Z106" s="10"/>
    </row>
    <row r="107" customFormat="false" ht="15.75" hidden="false" customHeight="false" outlineLevel="0" collapsed="false">
      <c r="A107" s="1" t="n">
        <v>1023</v>
      </c>
      <c r="B107" s="1" t="n">
        <v>1</v>
      </c>
      <c r="C107" s="1" t="s">
        <v>160</v>
      </c>
      <c r="D107" s="1" t="s">
        <v>34</v>
      </c>
      <c r="E107" s="1" t="s">
        <v>99</v>
      </c>
      <c r="F107" s="1" t="s">
        <v>74</v>
      </c>
      <c r="H107" s="1" t="n">
        <v>286</v>
      </c>
      <c r="I107" s="1" t="n">
        <v>9092866</v>
      </c>
      <c r="J107" s="1" t="n">
        <v>3703415</v>
      </c>
      <c r="K107" s="1" t="n">
        <v>70555</v>
      </c>
      <c r="L107" s="1" t="n">
        <v>3895024</v>
      </c>
      <c r="M107" s="1" t="n">
        <v>3834497</v>
      </c>
      <c r="N107" s="1" t="n">
        <v>280351</v>
      </c>
      <c r="O107" s="1" t="n">
        <v>2518450</v>
      </c>
      <c r="P107" s="1" t="n">
        <v>2555394</v>
      </c>
      <c r="Q107" s="1" t="n">
        <v>0.40728797719003</v>
      </c>
      <c r="R107" s="1" t="n">
        <v>0.00775937971592235</v>
      </c>
      <c r="S107" s="1" t="n">
        <v>0.428360431133594</v>
      </c>
      <c r="T107" s="1" t="n">
        <v>0.421703894019773</v>
      </c>
      <c r="U107" s="1" t="n">
        <v>0.0308319731094685</v>
      </c>
      <c r="V107" s="1" t="n">
        <v>0.276969879463747</v>
      </c>
      <c r="W107" s="1" t="n">
        <v>0.281032844869813</v>
      </c>
      <c r="X107" s="8" t="s">
        <v>71</v>
      </c>
      <c r="Y107" s="8" t="s">
        <v>112</v>
      </c>
      <c r="Z107" s="9" t="s">
        <v>113</v>
      </c>
    </row>
    <row r="108" customFormat="false" ht="15.75" hidden="false" customHeight="false" outlineLevel="0" collapsed="false">
      <c r="A108" s="1" t="n">
        <v>1024</v>
      </c>
      <c r="B108" s="1" t="n">
        <v>1</v>
      </c>
      <c r="C108" s="1" t="s">
        <v>161</v>
      </c>
      <c r="D108" s="1" t="s">
        <v>34</v>
      </c>
      <c r="E108" s="1" t="s">
        <v>99</v>
      </c>
      <c r="F108" s="1" t="s">
        <v>74</v>
      </c>
      <c r="H108" s="1" t="n">
        <v>11.4</v>
      </c>
      <c r="I108" s="1" t="n">
        <v>10184798</v>
      </c>
      <c r="J108" s="1" t="n">
        <v>1826878</v>
      </c>
      <c r="K108" s="1" t="n">
        <v>37274</v>
      </c>
      <c r="L108" s="1" t="n">
        <v>2029352</v>
      </c>
      <c r="M108" s="1" t="n">
        <v>1946752</v>
      </c>
      <c r="N108" s="1" t="n">
        <v>227066</v>
      </c>
      <c r="O108" s="1" t="n">
        <v>1893486</v>
      </c>
      <c r="P108" s="1" t="n">
        <v>6198224</v>
      </c>
      <c r="Q108" s="1" t="n">
        <v>0.179373022420278</v>
      </c>
      <c r="R108" s="1" t="n">
        <v>0.00365976821533427</v>
      </c>
      <c r="S108" s="1" t="n">
        <v>0.199253043604792</v>
      </c>
      <c r="T108" s="1" t="n">
        <v>0.191142917120202</v>
      </c>
      <c r="U108" s="1" t="n">
        <v>0.0222946002463672</v>
      </c>
      <c r="V108" s="1" t="n">
        <v>0.185912965578699</v>
      </c>
      <c r="W108" s="1" t="n">
        <v>0.608576036559586</v>
      </c>
      <c r="X108" s="8" t="s">
        <v>64</v>
      </c>
      <c r="Y108" s="8" t="s">
        <v>105</v>
      </c>
      <c r="Z108" s="9" t="s">
        <v>65</v>
      </c>
    </row>
    <row r="109" customFormat="false" ht="15.75" hidden="false" customHeight="false" outlineLevel="0" collapsed="false">
      <c r="A109" s="1" t="n">
        <v>1024</v>
      </c>
      <c r="B109" s="1" t="n">
        <v>1</v>
      </c>
      <c r="C109" s="1" t="s">
        <v>161</v>
      </c>
      <c r="D109" s="1" t="s">
        <v>34</v>
      </c>
      <c r="E109" s="1" t="s">
        <v>99</v>
      </c>
      <c r="F109" s="1" t="s">
        <v>154</v>
      </c>
      <c r="H109" s="1" t="n">
        <v>11.4</v>
      </c>
      <c r="X109" s="8" t="s">
        <v>64</v>
      </c>
      <c r="Y109" s="8" t="s">
        <v>105</v>
      </c>
      <c r="Z109" s="9" t="s">
        <v>65</v>
      </c>
    </row>
    <row r="110" customFormat="false" ht="15.75" hidden="false" customHeight="false" outlineLevel="0" collapsed="false">
      <c r="A110" s="1" t="n">
        <v>1028</v>
      </c>
      <c r="B110" s="1" t="n">
        <v>1</v>
      </c>
      <c r="C110" s="1" t="s">
        <v>162</v>
      </c>
      <c r="D110" s="1" t="s">
        <v>34</v>
      </c>
      <c r="E110" s="1" t="s">
        <v>99</v>
      </c>
      <c r="F110" s="1" t="s">
        <v>69</v>
      </c>
      <c r="H110" s="1" t="n">
        <v>5.58</v>
      </c>
      <c r="I110" s="1" t="n">
        <v>16411910</v>
      </c>
      <c r="J110" s="1" t="n">
        <v>2051691</v>
      </c>
      <c r="K110" s="1" t="n">
        <v>33216</v>
      </c>
      <c r="L110" s="1" t="n">
        <v>2730397</v>
      </c>
      <c r="M110" s="1" t="n">
        <v>2407652</v>
      </c>
      <c r="N110" s="1" t="n">
        <v>332016</v>
      </c>
      <c r="O110" s="1" t="n">
        <v>1780346</v>
      </c>
      <c r="P110" s="1" t="n">
        <v>12014787</v>
      </c>
      <c r="Q110" s="1" t="n">
        <v>0.125012323367603</v>
      </c>
      <c r="R110" s="1" t="n">
        <v>0.002023896060849</v>
      </c>
      <c r="S110" s="1" t="n">
        <v>0.166366803132603</v>
      </c>
      <c r="T110" s="1" t="n">
        <v>0.146701511280527</v>
      </c>
      <c r="U110" s="1" t="n">
        <v>0.020230186492614</v>
      </c>
      <c r="V110" s="1" t="n">
        <v>0.108478903430497</v>
      </c>
      <c r="W110" s="1" t="n">
        <v>0.732077314584348</v>
      </c>
      <c r="X110" s="8" t="s">
        <v>70</v>
      </c>
      <c r="Y110" s="8" t="s">
        <v>163</v>
      </c>
      <c r="Z110" s="9" t="s">
        <v>72</v>
      </c>
    </row>
    <row r="111" customFormat="false" ht="15.75" hidden="true" customHeight="false" outlineLevel="0" collapsed="false">
      <c r="A111" s="1" t="n">
        <v>1029</v>
      </c>
      <c r="B111" s="1" t="n">
        <v>1</v>
      </c>
      <c r="C111" s="1" t="s">
        <v>164</v>
      </c>
      <c r="D111" s="1" t="s">
        <v>27</v>
      </c>
      <c r="E111" s="1" t="s">
        <v>99</v>
      </c>
      <c r="F111" s="1" t="s">
        <v>74</v>
      </c>
      <c r="H111" s="1" t="n">
        <v>9.56</v>
      </c>
      <c r="I111" s="1" t="n">
        <v>9438353</v>
      </c>
      <c r="J111" s="1" t="n">
        <v>173181</v>
      </c>
      <c r="K111" s="1" t="n">
        <v>4601</v>
      </c>
      <c r="L111" s="1" t="n">
        <v>554636</v>
      </c>
      <c r="M111" s="1" t="n">
        <v>366209</v>
      </c>
      <c r="N111" s="1" t="n">
        <v>49266</v>
      </c>
      <c r="O111" s="1" t="n">
        <v>877125</v>
      </c>
      <c r="P111" s="1" t="n">
        <v>8163128</v>
      </c>
      <c r="Q111" s="1" t="n">
        <v>0.0183486462097783</v>
      </c>
      <c r="R111" s="1" t="n">
        <v>0.000487479118443652</v>
      </c>
      <c r="S111" s="1" t="n">
        <v>0.0587640661458625</v>
      </c>
      <c r="T111" s="1" t="n">
        <v>0.0388000957370423</v>
      </c>
      <c r="U111" s="1" t="n">
        <v>0.00521976662665615</v>
      </c>
      <c r="V111" s="1" t="n">
        <v>0.0929319977754593</v>
      </c>
      <c r="W111" s="1" t="n">
        <v>0.864889033076004</v>
      </c>
      <c r="X111" s="8" t="s">
        <v>71</v>
      </c>
      <c r="Y111" s="8" t="s">
        <v>112</v>
      </c>
      <c r="Z111" s="9" t="s">
        <v>113</v>
      </c>
    </row>
    <row r="112" customFormat="false" ht="15.75" hidden="true" customHeight="false" outlineLevel="0" collapsed="false">
      <c r="A112" s="1" t="n">
        <v>1031</v>
      </c>
      <c r="C112" s="1" t="s">
        <v>165</v>
      </c>
      <c r="E112" s="1" t="s">
        <v>99</v>
      </c>
      <c r="H112" s="1" t="n">
        <v>4.2</v>
      </c>
      <c r="X112" s="10"/>
      <c r="Y112" s="8" t="s">
        <v>103</v>
      </c>
      <c r="Z112" s="10"/>
    </row>
    <row r="113" customFormat="false" ht="15.75" hidden="true" customHeight="false" outlineLevel="0" collapsed="false">
      <c r="A113" s="1" t="n">
        <v>1039</v>
      </c>
      <c r="C113" s="1" t="s">
        <v>166</v>
      </c>
      <c r="E113" s="1" t="s">
        <v>28</v>
      </c>
      <c r="H113" s="1" t="n">
        <v>5.7</v>
      </c>
      <c r="X113" s="10"/>
      <c r="Y113" s="8" t="s">
        <v>112</v>
      </c>
      <c r="Z113" s="10"/>
    </row>
    <row r="114" customFormat="false" ht="15.75" hidden="true" customHeight="false" outlineLevel="0" collapsed="false">
      <c r="A114" s="1" t="n">
        <v>1041</v>
      </c>
      <c r="C114" s="1" t="s">
        <v>167</v>
      </c>
      <c r="E114" s="1" t="s">
        <v>99</v>
      </c>
      <c r="H114" s="1" t="s">
        <v>38</v>
      </c>
      <c r="X114" s="10"/>
      <c r="Y114" s="8" t="s">
        <v>103</v>
      </c>
      <c r="Z114" s="10"/>
    </row>
    <row r="115" customFormat="false" ht="15.75" hidden="false" customHeight="false" outlineLevel="0" collapsed="false">
      <c r="A115" s="1" t="n">
        <v>1041</v>
      </c>
      <c r="B115" s="1" t="n">
        <v>1</v>
      </c>
      <c r="C115" s="1" t="s">
        <v>167</v>
      </c>
      <c r="D115" s="1" t="s">
        <v>34</v>
      </c>
      <c r="E115" s="1" t="s">
        <v>99</v>
      </c>
      <c r="F115" s="1" t="s">
        <v>74</v>
      </c>
      <c r="H115" s="1" t="n">
        <v>59</v>
      </c>
      <c r="I115" s="1" t="n">
        <v>12373862</v>
      </c>
      <c r="J115" s="1" t="n">
        <v>4853848</v>
      </c>
      <c r="K115" s="1" t="n">
        <v>105655</v>
      </c>
      <c r="L115" s="1" t="n">
        <v>5316707</v>
      </c>
      <c r="M115" s="1" t="n">
        <v>5138105</v>
      </c>
      <c r="N115" s="1" t="n">
        <v>509139</v>
      </c>
      <c r="O115" s="1" t="n">
        <v>4959667</v>
      </c>
      <c r="P115" s="1" t="n">
        <v>1938099</v>
      </c>
      <c r="Q115" s="1" t="n">
        <v>0.392266214056695</v>
      </c>
      <c r="R115" s="1" t="n">
        <v>0.00853856298057955</v>
      </c>
      <c r="S115" s="1" t="n">
        <v>0.429672401389316</v>
      </c>
      <c r="T115" s="1" t="n">
        <v>0.415238589213295</v>
      </c>
      <c r="U115" s="1" t="n">
        <v>0.0411463292543589</v>
      </c>
      <c r="V115" s="1" t="n">
        <v>0.400818030781336</v>
      </c>
      <c r="W115" s="1" t="n">
        <v>0.156628464096335</v>
      </c>
      <c r="X115" s="8" t="s">
        <v>71</v>
      </c>
      <c r="Y115" s="8" t="s">
        <v>112</v>
      </c>
      <c r="Z115" s="9" t="s">
        <v>113</v>
      </c>
    </row>
    <row r="116" customFormat="false" ht="15.75" hidden="false" customHeight="false" outlineLevel="0" collapsed="false">
      <c r="A116" s="1" t="n">
        <v>1051</v>
      </c>
      <c r="B116" s="1" t="n">
        <v>1</v>
      </c>
      <c r="C116" s="1" t="s">
        <v>168</v>
      </c>
      <c r="D116" s="1" t="s">
        <v>34</v>
      </c>
      <c r="E116" s="1" t="s">
        <v>99</v>
      </c>
      <c r="F116" s="1" t="s">
        <v>74</v>
      </c>
      <c r="H116" s="1" t="n">
        <v>85</v>
      </c>
      <c r="I116" s="1" t="n">
        <v>10627716</v>
      </c>
      <c r="J116" s="1" t="n">
        <v>5295109</v>
      </c>
      <c r="K116" s="1" t="n">
        <v>118274</v>
      </c>
      <c r="L116" s="1" t="n">
        <v>5786169</v>
      </c>
      <c r="M116" s="1" t="n">
        <v>5599776</v>
      </c>
      <c r="N116" s="1" t="n">
        <v>444072</v>
      </c>
      <c r="O116" s="1" t="n">
        <v>3466100</v>
      </c>
      <c r="P116" s="1" t="n">
        <v>1207854</v>
      </c>
      <c r="Q116" s="1" t="n">
        <v>0.498235839196305</v>
      </c>
      <c r="R116" s="1" t="n">
        <v>0.0111288257985065</v>
      </c>
      <c r="S116" s="1" t="n">
        <v>0.544441439722326</v>
      </c>
      <c r="T116" s="1" t="n">
        <v>0.526903052358569</v>
      </c>
      <c r="U116" s="1" t="n">
        <v>0.0417843307066166</v>
      </c>
      <c r="V116" s="1" t="n">
        <v>0.32613780797304</v>
      </c>
      <c r="W116" s="1" t="n">
        <v>0.113651324517893</v>
      </c>
      <c r="X116" s="8" t="s">
        <v>71</v>
      </c>
      <c r="Y116" s="8" t="s">
        <v>112</v>
      </c>
      <c r="Z116" s="9" t="s">
        <v>113</v>
      </c>
    </row>
    <row r="117" customFormat="false" ht="15.75" hidden="false" customHeight="false" outlineLevel="0" collapsed="false">
      <c r="A117" s="1" t="n">
        <v>1052</v>
      </c>
      <c r="B117" s="1" t="n">
        <v>1</v>
      </c>
      <c r="C117" s="1" t="s">
        <v>169</v>
      </c>
      <c r="D117" s="1" t="s">
        <v>34</v>
      </c>
      <c r="E117" s="1" t="s">
        <v>99</v>
      </c>
      <c r="F117" s="1" t="s">
        <v>74</v>
      </c>
      <c r="H117" s="1" t="n">
        <v>18.4</v>
      </c>
      <c r="I117" s="1" t="n">
        <v>5858748</v>
      </c>
      <c r="J117" s="1" t="n">
        <v>1222325</v>
      </c>
      <c r="K117" s="1" t="n">
        <v>29432</v>
      </c>
      <c r="L117" s="1" t="n">
        <v>1373183</v>
      </c>
      <c r="M117" s="1" t="n">
        <v>1312470</v>
      </c>
      <c r="N117" s="1" t="n">
        <v>140634</v>
      </c>
      <c r="O117" s="1" t="n">
        <v>1707466</v>
      </c>
      <c r="P117" s="1" t="n">
        <v>2736129</v>
      </c>
      <c r="Q117" s="1" t="n">
        <v>0.208632458675471</v>
      </c>
      <c r="R117" s="1" t="n">
        <v>0.00502359889860427</v>
      </c>
      <c r="S117" s="1" t="n">
        <v>0.234381646044513</v>
      </c>
      <c r="T117" s="1" t="n">
        <v>0.224018851809294</v>
      </c>
      <c r="U117" s="1" t="n">
        <v>0.0240041046312284</v>
      </c>
      <c r="V117" s="1" t="n">
        <v>0.291438716940889</v>
      </c>
      <c r="W117" s="1" t="n">
        <v>0.467015990447106</v>
      </c>
      <c r="X117" s="8" t="s">
        <v>71</v>
      </c>
      <c r="Y117" s="8" t="s">
        <v>112</v>
      </c>
      <c r="Z117" s="9" t="s">
        <v>113</v>
      </c>
    </row>
    <row r="118" customFormat="false" ht="15.75" hidden="false" customHeight="false" outlineLevel="0" collapsed="false">
      <c r="A118" s="1" t="n">
        <v>1052</v>
      </c>
      <c r="B118" s="1" t="n">
        <v>1</v>
      </c>
      <c r="C118" s="1" t="s">
        <v>169</v>
      </c>
      <c r="D118" s="1" t="s">
        <v>34</v>
      </c>
      <c r="E118" s="1" t="s">
        <v>99</v>
      </c>
      <c r="F118" s="1" t="s">
        <v>170</v>
      </c>
      <c r="H118" s="1" t="n">
        <v>18.4</v>
      </c>
      <c r="I118" s="1" t="n">
        <v>9601879</v>
      </c>
      <c r="J118" s="1" t="n">
        <v>2006085</v>
      </c>
      <c r="K118" s="1" t="n">
        <v>48686</v>
      </c>
      <c r="L118" s="1" t="n">
        <v>2246661</v>
      </c>
      <c r="M118" s="1" t="n">
        <v>2150716</v>
      </c>
      <c r="N118" s="1" t="n">
        <v>230167</v>
      </c>
      <c r="O118" s="1" t="n">
        <v>2834253</v>
      </c>
      <c r="P118" s="1" t="n">
        <v>4447285</v>
      </c>
      <c r="Q118" s="1" t="n">
        <v>0.208926294530477</v>
      </c>
      <c r="R118" s="1" t="n">
        <v>0.005070465895269</v>
      </c>
      <c r="S118" s="1" t="n">
        <v>0.233981390517418</v>
      </c>
      <c r="T118" s="1" t="n">
        <v>0.223989075471582</v>
      </c>
      <c r="U118" s="1" t="n">
        <v>0.023971037335505</v>
      </c>
      <c r="V118" s="1" t="n">
        <v>0.295176912768844</v>
      </c>
      <c r="W118" s="1" t="n">
        <v>0.46316819864112</v>
      </c>
      <c r="X118" s="8" t="s">
        <v>71</v>
      </c>
      <c r="Y118" s="8" t="s">
        <v>112</v>
      </c>
      <c r="Z118" s="9" t="s">
        <v>113</v>
      </c>
    </row>
    <row r="119" customFormat="false" ht="15.75" hidden="false" customHeight="false" outlineLevel="0" collapsed="false">
      <c r="A119" s="1" t="n">
        <v>1054</v>
      </c>
      <c r="B119" s="1" t="n">
        <v>1</v>
      </c>
      <c r="C119" s="1" t="s">
        <v>171</v>
      </c>
      <c r="D119" s="1" t="s">
        <v>34</v>
      </c>
      <c r="E119" s="1" t="s">
        <v>99</v>
      </c>
      <c r="F119" s="1" t="s">
        <v>74</v>
      </c>
      <c r="H119" s="1" t="n">
        <v>27</v>
      </c>
      <c r="I119" s="1" t="n">
        <v>10937138</v>
      </c>
      <c r="J119" s="1" t="n">
        <v>1776439</v>
      </c>
      <c r="K119" s="1" t="n">
        <v>49614</v>
      </c>
      <c r="L119" s="1" t="n">
        <v>2179253</v>
      </c>
      <c r="M119" s="1" t="n">
        <v>2002653</v>
      </c>
      <c r="N119" s="1" t="n">
        <v>176300</v>
      </c>
      <c r="O119" s="1" t="n">
        <v>4027447</v>
      </c>
      <c r="P119" s="1" t="n">
        <v>4764687</v>
      </c>
      <c r="Q119" s="1" t="n">
        <v>0.16242265572584</v>
      </c>
      <c r="R119" s="1" t="n">
        <v>0.00453628728100532</v>
      </c>
      <c r="S119" s="1" t="n">
        <v>0.199252583262641</v>
      </c>
      <c r="T119" s="1" t="n">
        <v>0.183105763134743</v>
      </c>
      <c r="U119" s="1" t="n">
        <v>0.0161193906486322</v>
      </c>
      <c r="V119" s="1" t="n">
        <v>0.368235913270912</v>
      </c>
      <c r="W119" s="1" t="n">
        <v>0.435642944251046</v>
      </c>
      <c r="X119" s="8" t="s">
        <v>71</v>
      </c>
      <c r="Y119" s="8" t="s">
        <v>112</v>
      </c>
      <c r="Z119" s="9" t="s">
        <v>113</v>
      </c>
    </row>
    <row r="120" customFormat="false" ht="15.75" hidden="false" customHeight="false" outlineLevel="0" collapsed="false">
      <c r="A120" s="1" t="n">
        <v>1054</v>
      </c>
      <c r="B120" s="1" t="n">
        <v>1</v>
      </c>
      <c r="C120" s="1" t="s">
        <v>171</v>
      </c>
      <c r="D120" s="1" t="s">
        <v>34</v>
      </c>
      <c r="E120" s="1" t="s">
        <v>99</v>
      </c>
      <c r="F120" s="1" t="s">
        <v>154</v>
      </c>
      <c r="H120" s="1" t="n">
        <v>27</v>
      </c>
      <c r="X120" s="8" t="s">
        <v>71</v>
      </c>
      <c r="Y120" s="8" t="s">
        <v>112</v>
      </c>
      <c r="Z120" s="9" t="s">
        <v>113</v>
      </c>
    </row>
    <row r="121" customFormat="false" ht="15.75" hidden="false" customHeight="false" outlineLevel="0" collapsed="false">
      <c r="A121" s="1" t="n">
        <v>1055</v>
      </c>
      <c r="B121" s="1" t="n">
        <v>1</v>
      </c>
      <c r="C121" s="1" t="s">
        <v>172</v>
      </c>
      <c r="D121" s="1" t="s">
        <v>34</v>
      </c>
      <c r="E121" s="1" t="s">
        <v>99</v>
      </c>
      <c r="F121" s="1" t="s">
        <v>74</v>
      </c>
      <c r="H121" s="1" t="n">
        <v>34</v>
      </c>
      <c r="I121" s="1" t="n">
        <v>11226861</v>
      </c>
      <c r="J121" s="1" t="n">
        <v>2749680</v>
      </c>
      <c r="K121" s="1" t="n">
        <v>64924</v>
      </c>
      <c r="L121" s="1" t="n">
        <v>3058708</v>
      </c>
      <c r="M121" s="1" t="n">
        <v>2936656</v>
      </c>
      <c r="N121" s="1" t="n">
        <v>183846</v>
      </c>
      <c r="O121" s="1" t="n">
        <v>2392783</v>
      </c>
      <c r="P121" s="1" t="n">
        <v>5759526</v>
      </c>
      <c r="Q121" s="1" t="n">
        <v>0.244919750943741</v>
      </c>
      <c r="R121" s="1" t="n">
        <v>0.0057829165249307</v>
      </c>
      <c r="S121" s="1" t="n">
        <v>0.272445521504185</v>
      </c>
      <c r="T121" s="1" t="n">
        <v>0.261574094486429</v>
      </c>
      <c r="U121" s="1" t="n">
        <v>0.0163755478935742</v>
      </c>
      <c r="V121" s="1" t="n">
        <v>0.21313018839371</v>
      </c>
      <c r="W121" s="1" t="n">
        <v>0.513013031870618</v>
      </c>
      <c r="X121" s="8" t="s">
        <v>71</v>
      </c>
      <c r="Y121" s="8" t="s">
        <v>112</v>
      </c>
      <c r="Z121" s="9" t="s">
        <v>113</v>
      </c>
    </row>
    <row r="122" customFormat="false" ht="15.75" hidden="false" customHeight="false" outlineLevel="0" collapsed="false">
      <c r="A122" s="1" t="n">
        <v>1056</v>
      </c>
      <c r="B122" s="1" t="n">
        <v>1</v>
      </c>
      <c r="C122" s="1" t="s">
        <v>173</v>
      </c>
      <c r="D122" s="1" t="s">
        <v>34</v>
      </c>
      <c r="E122" s="1" t="s">
        <v>99</v>
      </c>
      <c r="F122" s="1" t="s">
        <v>108</v>
      </c>
      <c r="H122" s="1" t="n">
        <v>20.8</v>
      </c>
      <c r="I122" s="1" t="n">
        <v>6380553</v>
      </c>
      <c r="J122" s="1" t="n">
        <v>1543202</v>
      </c>
      <c r="K122" s="1" t="n">
        <v>28671</v>
      </c>
      <c r="L122" s="1" t="n">
        <v>1698699</v>
      </c>
      <c r="M122" s="1" t="n">
        <v>1635286</v>
      </c>
      <c r="N122" s="1" t="n">
        <v>173434</v>
      </c>
      <c r="O122" s="1" t="n">
        <v>1204824</v>
      </c>
      <c r="P122" s="1" t="n">
        <v>3424949</v>
      </c>
      <c r="Q122" s="1" t="n">
        <f aca="false">J122/$I122</f>
        <v>0.241860227475581</v>
      </c>
      <c r="R122" s="1" t="n">
        <f aca="false">K122/$I122</f>
        <v>0.00449349766391722</v>
      </c>
      <c r="S122" s="1" t="n">
        <f aca="false">L122/$I122</f>
        <v>0.266230685647467</v>
      </c>
      <c r="T122" s="1" t="n">
        <f aca="false">M122/$I122</f>
        <v>0.256292205393482</v>
      </c>
      <c r="U122" s="1" t="n">
        <f aca="false">N122/$I122</f>
        <v>0.0271816565115908</v>
      </c>
      <c r="V122" s="1" t="n">
        <f aca="false">O122/$I122</f>
        <v>0.188827520122472</v>
      </c>
      <c r="W122" s="1" t="n">
        <f aca="false">P122/$I122</f>
        <v>0.536779335584235</v>
      </c>
      <c r="X122" s="8" t="s">
        <v>109</v>
      </c>
      <c r="Y122" s="8" t="s">
        <v>124</v>
      </c>
      <c r="Z122" s="9" t="s">
        <v>174</v>
      </c>
    </row>
    <row r="123" customFormat="false" ht="15.75" hidden="false" customHeight="false" outlineLevel="0" collapsed="false">
      <c r="A123" s="1" t="n">
        <v>1056</v>
      </c>
      <c r="B123" s="1" t="n">
        <v>1</v>
      </c>
      <c r="C123" s="1" t="s">
        <v>173</v>
      </c>
      <c r="D123" s="1" t="s">
        <v>34</v>
      </c>
      <c r="E123" s="1" t="s">
        <v>99</v>
      </c>
      <c r="F123" s="1" t="s">
        <v>154</v>
      </c>
      <c r="H123" s="1" t="n">
        <v>20.8</v>
      </c>
      <c r="X123" s="8" t="s">
        <v>109</v>
      </c>
      <c r="Y123" s="8" t="s">
        <v>124</v>
      </c>
      <c r="Z123" s="9" t="s">
        <v>174</v>
      </c>
    </row>
    <row r="124" customFormat="false" ht="15.75" hidden="true" customHeight="false" outlineLevel="0" collapsed="false">
      <c r="A124" s="1" t="n">
        <v>1056</v>
      </c>
      <c r="C124" s="1" t="s">
        <v>175</v>
      </c>
      <c r="H124" s="1" t="n">
        <v>6.22</v>
      </c>
      <c r="X124" s="10"/>
      <c r="Y124" s="8" t="s">
        <v>163</v>
      </c>
      <c r="Z124" s="10"/>
    </row>
    <row r="125" customFormat="false" ht="15.75" hidden="true" customHeight="false" outlineLevel="0" collapsed="false">
      <c r="A125" s="1" t="n">
        <v>1059</v>
      </c>
      <c r="B125" s="1" t="n">
        <v>1</v>
      </c>
      <c r="C125" s="1" t="s">
        <v>176</v>
      </c>
      <c r="D125" s="1" t="s">
        <v>27</v>
      </c>
      <c r="E125" s="1" t="s">
        <v>99</v>
      </c>
      <c r="F125" s="1" t="s">
        <v>74</v>
      </c>
      <c r="H125" s="1" t="n">
        <v>17.2</v>
      </c>
      <c r="I125" s="1" t="n">
        <v>8112326</v>
      </c>
      <c r="J125" s="1" t="n">
        <v>391036</v>
      </c>
      <c r="K125" s="1" t="n">
        <v>9715</v>
      </c>
      <c r="L125" s="1" t="n">
        <v>611155</v>
      </c>
      <c r="M125" s="1" t="n">
        <v>505953</v>
      </c>
      <c r="N125" s="1" t="n">
        <v>59661</v>
      </c>
      <c r="O125" s="1" t="n">
        <v>1118991</v>
      </c>
      <c r="P125" s="1" t="n">
        <v>6446817</v>
      </c>
      <c r="Q125" s="1" t="n">
        <v>0.0482026979684988</v>
      </c>
      <c r="R125" s="1" t="n">
        <v>0.00119756035445321</v>
      </c>
      <c r="S125" s="1" t="n">
        <v>0.0753365927355484</v>
      </c>
      <c r="T125" s="1" t="n">
        <v>0.0623684255292502</v>
      </c>
      <c r="U125" s="1" t="n">
        <v>0.00735436421070849</v>
      </c>
      <c r="V125" s="1" t="n">
        <v>0.137937134183217</v>
      </c>
      <c r="W125" s="1" t="n">
        <v>0.794694024870302</v>
      </c>
      <c r="X125" s="8" t="s">
        <v>71</v>
      </c>
      <c r="Y125" s="8" t="s">
        <v>112</v>
      </c>
      <c r="Z125" s="9" t="s">
        <v>113</v>
      </c>
    </row>
    <row r="126" customFormat="false" ht="15.75" hidden="false" customHeight="false" outlineLevel="0" collapsed="false">
      <c r="A126" s="1" t="n">
        <v>1060</v>
      </c>
      <c r="B126" s="1" t="n">
        <v>1</v>
      </c>
      <c r="C126" s="1" t="s">
        <v>177</v>
      </c>
      <c r="D126" s="1" t="s">
        <v>34</v>
      </c>
      <c r="E126" s="1" t="s">
        <v>99</v>
      </c>
      <c r="F126" s="1" t="s">
        <v>74</v>
      </c>
      <c r="H126" s="1" t="n">
        <v>15.2</v>
      </c>
      <c r="I126" s="1" t="n">
        <v>8528736</v>
      </c>
      <c r="J126" s="1" t="n">
        <v>2120959</v>
      </c>
      <c r="K126" s="1" t="n">
        <v>46445</v>
      </c>
      <c r="L126" s="1" t="n">
        <v>2434724</v>
      </c>
      <c r="M126" s="1" t="n">
        <v>2301064</v>
      </c>
      <c r="N126" s="1" t="n">
        <v>204719</v>
      </c>
      <c r="O126" s="1" t="n">
        <v>3633608</v>
      </c>
      <c r="P126" s="1" t="n">
        <v>2438367</v>
      </c>
      <c r="Q126" s="1" t="n">
        <v>0.248683861242745</v>
      </c>
      <c r="R126" s="1" t="n">
        <v>0.00544570731231451</v>
      </c>
      <c r="S126" s="1" t="n">
        <v>0.285473017338091</v>
      </c>
      <c r="T126" s="1" t="n">
        <v>0.269801292946575</v>
      </c>
      <c r="U126" s="1" t="n">
        <v>0.0240034396656199</v>
      </c>
      <c r="V126" s="1" t="n">
        <v>0.42604296814909</v>
      </c>
      <c r="W126" s="1" t="n">
        <v>0.285900161524521</v>
      </c>
      <c r="X126" s="8" t="s">
        <v>71</v>
      </c>
      <c r="Y126" s="8" t="s">
        <v>112</v>
      </c>
      <c r="Z126" s="9" t="s">
        <v>113</v>
      </c>
    </row>
    <row r="127" customFormat="false" ht="15.75" hidden="false" customHeight="false" outlineLevel="0" collapsed="false">
      <c r="A127" s="1" t="n">
        <v>1062</v>
      </c>
      <c r="B127" s="1" t="n">
        <v>1</v>
      </c>
      <c r="C127" s="1" t="s">
        <v>178</v>
      </c>
      <c r="D127" s="1" t="s">
        <v>34</v>
      </c>
      <c r="E127" s="1" t="s">
        <v>99</v>
      </c>
      <c r="F127" s="1" t="s">
        <v>69</v>
      </c>
      <c r="H127" s="1" t="n">
        <v>5.24</v>
      </c>
      <c r="I127" s="1" t="n">
        <v>11962142</v>
      </c>
      <c r="J127" s="1" t="n">
        <v>1106824</v>
      </c>
      <c r="K127" s="1" t="n">
        <v>22230</v>
      </c>
      <c r="L127" s="1" t="n">
        <v>2268734</v>
      </c>
      <c r="M127" s="1" t="n">
        <v>1698894</v>
      </c>
      <c r="N127" s="1" t="n">
        <v>133447</v>
      </c>
      <c r="O127" s="1" t="n">
        <v>776825</v>
      </c>
      <c r="P127" s="1" t="n">
        <v>9381460</v>
      </c>
      <c r="Q127" s="1" t="n">
        <v>0.092527241358613</v>
      </c>
      <c r="R127" s="1" t="n">
        <v>0.001858362824986</v>
      </c>
      <c r="S127" s="1" t="n">
        <v>0.189659510813364</v>
      </c>
      <c r="T127" s="1" t="n">
        <v>0.142022557498482</v>
      </c>
      <c r="U127" s="1" t="n">
        <v>0.01115577795348</v>
      </c>
      <c r="V127" s="1" t="n">
        <v>0.064940292466015</v>
      </c>
      <c r="W127" s="1" t="n">
        <v>0.784262550971222</v>
      </c>
      <c r="X127" s="8" t="s">
        <v>70</v>
      </c>
      <c r="Y127" s="8" t="s">
        <v>112</v>
      </c>
      <c r="Z127" s="9" t="s">
        <v>72</v>
      </c>
    </row>
    <row r="128" customFormat="false" ht="15.75" hidden="false" customHeight="false" outlineLevel="0" collapsed="false">
      <c r="A128" s="1" t="n">
        <v>1062</v>
      </c>
      <c r="B128" s="1" t="n">
        <v>1</v>
      </c>
      <c r="C128" s="1" t="s">
        <v>178</v>
      </c>
      <c r="D128" s="1" t="s">
        <v>34</v>
      </c>
      <c r="E128" s="1" t="s">
        <v>99</v>
      </c>
      <c r="F128" s="1" t="s">
        <v>118</v>
      </c>
      <c r="H128" s="1" t="n">
        <v>5.24</v>
      </c>
      <c r="X128" s="8" t="s">
        <v>70</v>
      </c>
      <c r="Y128" s="8" t="s">
        <v>112</v>
      </c>
      <c r="Z128" s="9" t="s">
        <v>72</v>
      </c>
    </row>
    <row r="129" customFormat="false" ht="15.75" hidden="true" customHeight="false" outlineLevel="0" collapsed="false">
      <c r="A129" s="1" t="n">
        <v>1063</v>
      </c>
      <c r="B129" s="1" t="n">
        <v>1</v>
      </c>
      <c r="C129" s="1" t="s">
        <v>179</v>
      </c>
      <c r="D129" s="1" t="s">
        <v>27</v>
      </c>
      <c r="E129" s="1" t="s">
        <v>28</v>
      </c>
      <c r="F129" s="1" t="s">
        <v>74</v>
      </c>
      <c r="H129" s="1" t="n">
        <v>7</v>
      </c>
      <c r="I129" s="1" t="n">
        <v>12504136</v>
      </c>
      <c r="J129" s="1" t="n">
        <v>1695584</v>
      </c>
      <c r="K129" s="1" t="n">
        <v>31901</v>
      </c>
      <c r="L129" s="1" t="n">
        <v>2220677</v>
      </c>
      <c r="M129" s="1" t="n">
        <v>1974081</v>
      </c>
      <c r="N129" s="1" t="n">
        <v>168504</v>
      </c>
      <c r="O129" s="1" t="n">
        <v>1883973</v>
      </c>
      <c r="P129" s="1" t="n">
        <v>8531862</v>
      </c>
      <c r="Q129" s="1" t="n">
        <v>0.135601852059191</v>
      </c>
      <c r="R129" s="1" t="n">
        <v>0.00255123584708292</v>
      </c>
      <c r="S129" s="1" t="n">
        <v>0.177595397234963</v>
      </c>
      <c r="T129" s="1" t="n">
        <v>0.157874242570618</v>
      </c>
      <c r="U129" s="1" t="n">
        <v>0.0134758611070769</v>
      </c>
      <c r="V129" s="1" t="n">
        <v>0.150667986976469</v>
      </c>
      <c r="W129" s="1" t="n">
        <v>0.682323192901933</v>
      </c>
      <c r="X129" s="8" t="s">
        <v>71</v>
      </c>
      <c r="Y129" s="8" t="s">
        <v>112</v>
      </c>
      <c r="Z129" s="9" t="s">
        <v>113</v>
      </c>
    </row>
    <row r="130" customFormat="false" ht="15.75" hidden="true" customHeight="false" outlineLevel="0" collapsed="false">
      <c r="A130" s="1" t="n">
        <v>1064</v>
      </c>
      <c r="C130" s="1" t="s">
        <v>180</v>
      </c>
      <c r="E130" s="1" t="s">
        <v>28</v>
      </c>
      <c r="H130" s="1" t="n">
        <v>5.3</v>
      </c>
      <c r="X130" s="10"/>
      <c r="Y130" s="8" t="s">
        <v>112</v>
      </c>
      <c r="Z130" s="10"/>
    </row>
    <row r="131" customFormat="false" ht="15.75" hidden="false" customHeight="false" outlineLevel="0" collapsed="false">
      <c r="A131" s="1" t="n">
        <v>1065</v>
      </c>
      <c r="B131" s="1" t="n">
        <v>1</v>
      </c>
      <c r="C131" s="1" t="s">
        <v>181</v>
      </c>
      <c r="D131" s="1" t="s">
        <v>34</v>
      </c>
      <c r="E131" s="1" t="s">
        <v>99</v>
      </c>
      <c r="F131" s="1" t="s">
        <v>74</v>
      </c>
      <c r="H131" s="1" t="n">
        <v>8.32</v>
      </c>
      <c r="I131" s="1" t="n">
        <v>8844342</v>
      </c>
      <c r="J131" s="1" t="n">
        <v>1188648</v>
      </c>
      <c r="K131" s="1" t="n">
        <v>31894</v>
      </c>
      <c r="L131" s="1" t="n">
        <v>1892128</v>
      </c>
      <c r="M131" s="1" t="n">
        <v>1556335</v>
      </c>
      <c r="N131" s="1" t="n">
        <v>143320</v>
      </c>
      <c r="O131" s="1" t="n">
        <v>2840395</v>
      </c>
      <c r="P131" s="1" t="n">
        <v>4337498</v>
      </c>
      <c r="Q131" s="1" t="n">
        <v>0.134396431074239</v>
      </c>
      <c r="R131" s="1" t="n">
        <v>0.00360614729733427</v>
      </c>
      <c r="S131" s="1" t="n">
        <v>0.213936548360522</v>
      </c>
      <c r="T131" s="1" t="n">
        <v>0.175969563366048</v>
      </c>
      <c r="U131" s="1" t="n">
        <v>0.0162047103108405</v>
      </c>
      <c r="V131" s="1" t="n">
        <v>0.321153908340496</v>
      </c>
      <c r="W131" s="1" t="n">
        <v>0.490426308706742</v>
      </c>
      <c r="X131" s="8" t="s">
        <v>71</v>
      </c>
      <c r="Y131" s="8" t="s">
        <v>112</v>
      </c>
      <c r="Z131" s="9" t="s">
        <v>113</v>
      </c>
    </row>
    <row r="132" customFormat="false" ht="15.75" hidden="false" customHeight="false" outlineLevel="0" collapsed="false">
      <c r="A132" s="1" t="n">
        <v>1065</v>
      </c>
      <c r="B132" s="1" t="n">
        <v>1</v>
      </c>
      <c r="C132" s="1" t="s">
        <v>181</v>
      </c>
      <c r="D132" s="1" t="s">
        <v>34</v>
      </c>
      <c r="E132" s="1" t="s">
        <v>99</v>
      </c>
      <c r="F132" s="1" t="s">
        <v>118</v>
      </c>
      <c r="H132" s="1" t="n">
        <v>8.32</v>
      </c>
      <c r="X132" s="8" t="s">
        <v>71</v>
      </c>
      <c r="Y132" s="8" t="s">
        <v>112</v>
      </c>
      <c r="Z132" s="9" t="s">
        <v>113</v>
      </c>
    </row>
    <row r="133" customFormat="false" ht="15.75" hidden="true" customHeight="false" outlineLevel="0" collapsed="false">
      <c r="A133" s="1" t="n">
        <v>1066</v>
      </c>
      <c r="B133" s="1" t="n">
        <v>1</v>
      </c>
      <c r="C133" s="1" t="s">
        <v>182</v>
      </c>
      <c r="D133" s="1" t="s">
        <v>27</v>
      </c>
      <c r="E133" s="1" t="s">
        <v>28</v>
      </c>
      <c r="F133" s="1" t="s">
        <v>74</v>
      </c>
      <c r="H133" s="1" t="n">
        <v>97.4</v>
      </c>
      <c r="I133" s="1" t="n">
        <v>8494646</v>
      </c>
      <c r="J133" s="1" t="n">
        <v>4213387</v>
      </c>
      <c r="K133" s="1" t="n">
        <v>76128</v>
      </c>
      <c r="L133" s="1" t="n">
        <v>5087459</v>
      </c>
      <c r="M133" s="1" t="n">
        <v>4688487</v>
      </c>
      <c r="N133" s="1" t="n">
        <v>322698</v>
      </c>
      <c r="O133" s="1" t="n">
        <v>1446528</v>
      </c>
      <c r="P133" s="1" t="n">
        <v>2109879</v>
      </c>
      <c r="Q133" s="1" t="n">
        <v>0.496005013039978</v>
      </c>
      <c r="R133" s="1" t="n">
        <v>0.00896188022432012</v>
      </c>
      <c r="S133" s="1" t="n">
        <v>0.598901825926589</v>
      </c>
      <c r="T133" s="1" t="n">
        <v>0.551934359595444</v>
      </c>
      <c r="U133" s="1" t="n">
        <v>0.0379883988102624</v>
      </c>
      <c r="V133" s="1" t="n">
        <v>0.170287025498179</v>
      </c>
      <c r="W133" s="1" t="n">
        <v>0.248377507432329</v>
      </c>
      <c r="X133" s="8" t="s">
        <v>71</v>
      </c>
      <c r="Y133" s="8" t="s">
        <v>112</v>
      </c>
      <c r="Z133" s="9" t="s">
        <v>113</v>
      </c>
    </row>
    <row r="134" customFormat="false" ht="15.75" hidden="true" customHeight="false" outlineLevel="0" collapsed="false">
      <c r="A134" s="1" t="n">
        <v>1067</v>
      </c>
      <c r="C134" s="1" t="s">
        <v>183</v>
      </c>
      <c r="E134" s="1" t="s">
        <v>99</v>
      </c>
      <c r="H134" s="1" t="n">
        <v>2.4</v>
      </c>
      <c r="X134" s="10"/>
      <c r="Y134" s="8" t="s">
        <v>112</v>
      </c>
      <c r="Z134" s="10"/>
    </row>
    <row r="135" customFormat="false" ht="15.75" hidden="false" customHeight="false" outlineLevel="0" collapsed="false">
      <c r="A135" s="1" t="n">
        <v>1069</v>
      </c>
      <c r="B135" s="1" t="n">
        <v>1</v>
      </c>
      <c r="C135" s="1" t="s">
        <v>184</v>
      </c>
      <c r="D135" s="1" t="s">
        <v>34</v>
      </c>
      <c r="E135" s="1" t="s">
        <v>99</v>
      </c>
      <c r="F135" s="1" t="s">
        <v>108</v>
      </c>
      <c r="H135" s="1" t="n">
        <f aca="false">(35.8+33.4)/2</f>
        <v>34.6</v>
      </c>
      <c r="I135" s="1" t="n">
        <v>11123399</v>
      </c>
      <c r="J135" s="1" t="n">
        <v>4523998</v>
      </c>
      <c r="K135" s="1" t="n">
        <v>88409</v>
      </c>
      <c r="L135" s="1" t="n">
        <v>4605317</v>
      </c>
      <c r="M135" s="1" t="n">
        <v>4608862</v>
      </c>
      <c r="N135" s="1" t="n">
        <v>425887</v>
      </c>
      <c r="O135" s="1" t="n">
        <v>2066584</v>
      </c>
      <c r="P135" s="1" t="n">
        <v>4157773</v>
      </c>
      <c r="Q135" s="1" t="n">
        <f aca="false">J135/$I135</f>
        <v>0.406710035304856</v>
      </c>
      <c r="R135" s="1" t="n">
        <f aca="false">K135/$I135</f>
        <v>0.00794802020497512</v>
      </c>
      <c r="S135" s="1" t="n">
        <f aca="false">L135/$I135</f>
        <v>0.414020660411444</v>
      </c>
      <c r="T135" s="1" t="n">
        <f aca="false">M135/$I135</f>
        <v>0.414339357960638</v>
      </c>
      <c r="U135" s="1" t="n">
        <f aca="false">N135/$I135</f>
        <v>0.0382874874847158</v>
      </c>
      <c r="V135" s="1" t="n">
        <f aca="false">O135/$I135</f>
        <v>0.18578709619245</v>
      </c>
      <c r="W135" s="1" t="n">
        <f aca="false">P135/$I135</f>
        <v>0.373786196107862</v>
      </c>
      <c r="X135" s="8" t="s">
        <v>109</v>
      </c>
      <c r="Y135" s="8" t="s">
        <v>71</v>
      </c>
      <c r="Z135" s="9" t="s">
        <v>110</v>
      </c>
    </row>
    <row r="136" customFormat="false" ht="15.75" hidden="true" customHeight="false" outlineLevel="0" collapsed="false">
      <c r="A136" s="1" t="n">
        <v>1070</v>
      </c>
      <c r="C136" s="1" t="s">
        <v>185</v>
      </c>
      <c r="E136" s="1" t="s">
        <v>99</v>
      </c>
      <c r="H136" s="1" t="n">
        <v>2.1</v>
      </c>
      <c r="X136" s="10"/>
      <c r="Y136" s="8" t="s">
        <v>112</v>
      </c>
      <c r="Z136" s="10"/>
    </row>
    <row r="137" customFormat="false" ht="15.75" hidden="false" customHeight="false" outlineLevel="0" collapsed="false">
      <c r="A137" s="1" t="n">
        <v>1071</v>
      </c>
      <c r="B137" s="1" t="n">
        <v>1</v>
      </c>
      <c r="C137" s="1" t="s">
        <v>186</v>
      </c>
      <c r="D137" s="1" t="s">
        <v>34</v>
      </c>
      <c r="E137" s="1" t="s">
        <v>99</v>
      </c>
      <c r="F137" s="1" t="s">
        <v>69</v>
      </c>
      <c r="H137" s="1" t="n">
        <v>14.5</v>
      </c>
      <c r="I137" s="1" t="n">
        <v>17363197</v>
      </c>
      <c r="J137" s="1" t="n">
        <v>6882936</v>
      </c>
      <c r="K137" s="1" t="n">
        <v>136942</v>
      </c>
      <c r="L137" s="1" t="n">
        <v>6750322</v>
      </c>
      <c r="M137" s="1" t="n">
        <v>6885100</v>
      </c>
      <c r="N137" s="1" t="n">
        <v>423975</v>
      </c>
      <c r="O137" s="1" t="n">
        <v>5103446</v>
      </c>
      <c r="P137" s="1" t="n">
        <v>5049820</v>
      </c>
      <c r="Q137" s="1" t="n">
        <v>0.39640948611019</v>
      </c>
      <c r="R137" s="1" t="n">
        <v>0.007886911609653</v>
      </c>
      <c r="S137" s="1" t="n">
        <v>0.388771837352303</v>
      </c>
      <c r="T137" s="1" t="n">
        <v>0.396534117536074</v>
      </c>
      <c r="U137" s="1" t="n">
        <v>0.024418026242518</v>
      </c>
      <c r="V137" s="1" t="n">
        <v>0.293923175553442</v>
      </c>
      <c r="W137" s="1" t="n">
        <v>0.290834689026451</v>
      </c>
      <c r="X137" s="8" t="s">
        <v>70</v>
      </c>
      <c r="Y137" s="8" t="s">
        <v>97</v>
      </c>
      <c r="Z137" s="9" t="s">
        <v>72</v>
      </c>
    </row>
    <row r="138" customFormat="false" ht="15.75" hidden="true" customHeight="false" outlineLevel="0" collapsed="false">
      <c r="A138" s="1" t="n">
        <v>1072</v>
      </c>
      <c r="C138" s="1" t="s">
        <v>187</v>
      </c>
      <c r="E138" s="1" t="s">
        <v>28</v>
      </c>
      <c r="H138" s="1" t="s">
        <v>38</v>
      </c>
      <c r="X138" s="10"/>
      <c r="Y138" s="8" t="s">
        <v>97</v>
      </c>
      <c r="Z138" s="10"/>
    </row>
    <row r="139" customFormat="false" ht="15.75" hidden="true" customHeight="false" outlineLevel="0" collapsed="false">
      <c r="A139" s="1" t="n">
        <v>1073</v>
      </c>
      <c r="C139" s="1" t="s">
        <v>188</v>
      </c>
      <c r="E139" s="1" t="s">
        <v>28</v>
      </c>
      <c r="H139" s="1" t="n">
        <v>21.4</v>
      </c>
      <c r="X139" s="10"/>
      <c r="Y139" s="8" t="s">
        <v>97</v>
      </c>
      <c r="Z139" s="10"/>
    </row>
    <row r="140" customFormat="false" ht="15.75" hidden="false" customHeight="false" outlineLevel="0" collapsed="false">
      <c r="A140" s="1" t="n">
        <v>1074</v>
      </c>
      <c r="B140" s="1" t="n">
        <v>1</v>
      </c>
      <c r="C140" s="1" t="s">
        <v>189</v>
      </c>
      <c r="D140" s="1" t="s">
        <v>34</v>
      </c>
      <c r="E140" s="1" t="s">
        <v>99</v>
      </c>
      <c r="F140" s="1" t="s">
        <v>69</v>
      </c>
      <c r="H140" s="1" t="n">
        <v>12.4</v>
      </c>
      <c r="I140" s="1" t="n">
        <v>13711511</v>
      </c>
      <c r="J140" s="1" t="n">
        <v>1441553</v>
      </c>
      <c r="K140" s="1" t="n">
        <v>34774</v>
      </c>
      <c r="L140" s="1" t="n">
        <v>2425941</v>
      </c>
      <c r="M140" s="1" t="n">
        <v>1951134</v>
      </c>
      <c r="N140" s="1" t="n">
        <v>218210</v>
      </c>
      <c r="O140" s="1" t="n">
        <v>903290</v>
      </c>
      <c r="P140" s="1" t="n">
        <v>10696874</v>
      </c>
      <c r="Q140" s="1" t="n">
        <v>0.105134510704181</v>
      </c>
      <c r="R140" s="1" t="n">
        <v>0.002536117281312</v>
      </c>
      <c r="S140" s="1" t="n">
        <v>0.176927327702979</v>
      </c>
      <c r="T140" s="1" t="n">
        <v>0.142298977844236</v>
      </c>
      <c r="U140" s="1" t="n">
        <v>0.015914365674214</v>
      </c>
      <c r="V140" s="1" t="n">
        <v>0.065878224507861</v>
      </c>
      <c r="W140" s="1" t="n">
        <v>0.780138235676579</v>
      </c>
      <c r="X140" s="8" t="s">
        <v>70</v>
      </c>
      <c r="Y140" s="8" t="s">
        <v>97</v>
      </c>
      <c r="Z140" s="9" t="s">
        <v>72</v>
      </c>
    </row>
    <row r="141" customFormat="false" ht="15.75" hidden="false" customHeight="false" outlineLevel="0" collapsed="false">
      <c r="A141" s="1" t="n">
        <v>1074</v>
      </c>
      <c r="B141" s="1" t="n">
        <v>1</v>
      </c>
      <c r="C141" s="1" t="s">
        <v>189</v>
      </c>
      <c r="D141" s="1" t="s">
        <v>34</v>
      </c>
      <c r="E141" s="1" t="s">
        <v>99</v>
      </c>
      <c r="F141" s="1" t="s">
        <v>118</v>
      </c>
      <c r="H141" s="1" t="n">
        <v>12.4</v>
      </c>
      <c r="X141" s="8" t="s">
        <v>70</v>
      </c>
      <c r="Y141" s="8" t="s">
        <v>97</v>
      </c>
      <c r="Z141" s="9" t="s">
        <v>72</v>
      </c>
    </row>
    <row r="142" customFormat="false" ht="15.75" hidden="true" customHeight="false" outlineLevel="0" collapsed="false">
      <c r="A142" s="1" t="n">
        <v>1075</v>
      </c>
      <c r="C142" s="1" t="s">
        <v>190</v>
      </c>
      <c r="E142" s="1" t="s">
        <v>99</v>
      </c>
      <c r="H142" s="1" t="s">
        <v>38</v>
      </c>
      <c r="X142" s="10"/>
      <c r="Y142" s="8" t="s">
        <v>71</v>
      </c>
      <c r="Z142" s="10"/>
    </row>
    <row r="143" customFormat="false" ht="15.75" hidden="false" customHeight="false" outlineLevel="0" collapsed="false">
      <c r="A143" s="1" t="n">
        <v>1075</v>
      </c>
      <c r="B143" s="1" t="n">
        <v>1</v>
      </c>
      <c r="C143" s="1" t="s">
        <v>191</v>
      </c>
      <c r="D143" s="1" t="s">
        <v>34</v>
      </c>
      <c r="E143" s="1" t="s">
        <v>35</v>
      </c>
      <c r="F143" s="1" t="s">
        <v>108</v>
      </c>
      <c r="H143" s="1" t="n">
        <v>23.8</v>
      </c>
      <c r="I143" s="1" t="n">
        <v>9811694</v>
      </c>
      <c r="J143" s="1" t="n">
        <v>4244500</v>
      </c>
      <c r="K143" s="1" t="n">
        <v>90031</v>
      </c>
      <c r="L143" s="1" t="n">
        <v>4704253</v>
      </c>
      <c r="M143" s="1" t="n">
        <v>4519392</v>
      </c>
      <c r="N143" s="1" t="n">
        <v>609195</v>
      </c>
      <c r="O143" s="1" t="n">
        <v>3173656</v>
      </c>
      <c r="P143" s="1" t="n">
        <v>1712892</v>
      </c>
      <c r="Q143" s="1" t="n">
        <f aca="false">J143/$I143</f>
        <v>0.432596043048224</v>
      </c>
      <c r="R143" s="1" t="n">
        <f aca="false">K143/$I143</f>
        <v>0.00917588746652719</v>
      </c>
      <c r="S143" s="1" t="n">
        <f aca="false">L143/$I143</f>
        <v>0.479453700859403</v>
      </c>
      <c r="T143" s="1" t="n">
        <f aca="false">M143/$I143</f>
        <v>0.460612815687077</v>
      </c>
      <c r="U143" s="1" t="n">
        <f aca="false">N143/$I143</f>
        <v>0.0620886668499853</v>
      </c>
      <c r="V143" s="1" t="n">
        <f aca="false">O143/$I143</f>
        <v>0.323456479584463</v>
      </c>
      <c r="W143" s="1" t="n">
        <f aca="false">P143/$I143</f>
        <v>0.174576581780883</v>
      </c>
      <c r="X143" s="8" t="s">
        <v>109</v>
      </c>
      <c r="Y143" s="8" t="s">
        <v>122</v>
      </c>
      <c r="Z143" s="9" t="s">
        <v>110</v>
      </c>
    </row>
    <row r="144" customFormat="false" ht="15.75" hidden="false" customHeight="false" outlineLevel="0" collapsed="false">
      <c r="A144" s="1" t="n">
        <v>1081</v>
      </c>
      <c r="B144" s="1" t="n">
        <v>1</v>
      </c>
      <c r="C144" s="1" t="s">
        <v>192</v>
      </c>
      <c r="D144" s="1" t="s">
        <v>34</v>
      </c>
      <c r="E144" s="1" t="s">
        <v>99</v>
      </c>
      <c r="F144" s="1" t="s">
        <v>108</v>
      </c>
      <c r="H144" s="1" t="n">
        <v>108</v>
      </c>
      <c r="I144" s="1" t="n">
        <v>11098674</v>
      </c>
      <c r="J144" s="1" t="n">
        <v>6844241</v>
      </c>
      <c r="K144" s="1" t="n">
        <v>141332</v>
      </c>
      <c r="L144" s="1" t="n">
        <v>6836319</v>
      </c>
      <c r="M144" s="1" t="n">
        <v>6910946</v>
      </c>
      <c r="N144" s="1" t="n">
        <v>561304</v>
      </c>
      <c r="O144" s="1" t="n">
        <v>2606520</v>
      </c>
      <c r="P144" s="1" t="n">
        <v>1194207</v>
      </c>
      <c r="Q144" s="1" t="n">
        <f aca="false">J144/$I144</f>
        <v>0.616671955586767</v>
      </c>
      <c r="R144" s="1" t="n">
        <f aca="false">K144/$I144</f>
        <v>0.0127341338253561</v>
      </c>
      <c r="S144" s="1" t="n">
        <f aca="false">L144/$I144</f>
        <v>0.615958176625424</v>
      </c>
      <c r="T144" s="1" t="n">
        <f aca="false">M144/$I144</f>
        <v>0.622682133018773</v>
      </c>
      <c r="U144" s="1" t="n">
        <f aca="false">N144/$I144</f>
        <v>0.0505739694669832</v>
      </c>
      <c r="V144" s="1" t="n">
        <f aca="false">O144/$I144</f>
        <v>0.234849676637047</v>
      </c>
      <c r="W144" s="1" t="n">
        <f aca="false">P144/$I144</f>
        <v>0.10759906994295</v>
      </c>
      <c r="X144" s="8" t="s">
        <v>109</v>
      </c>
      <c r="Y144" s="8" t="s">
        <v>124</v>
      </c>
      <c r="Z144" s="9" t="s">
        <v>110</v>
      </c>
    </row>
    <row r="145" customFormat="false" ht="15.75" hidden="true" customHeight="false" outlineLevel="0" collapsed="false">
      <c r="A145" s="1" t="n">
        <v>1081</v>
      </c>
      <c r="B145" s="1" t="n">
        <v>1</v>
      </c>
      <c r="C145" s="1" t="s">
        <v>192</v>
      </c>
      <c r="E145" s="1" t="s">
        <v>99</v>
      </c>
      <c r="F145" s="1" t="s">
        <v>90</v>
      </c>
      <c r="H145" s="1" t="n">
        <v>108</v>
      </c>
      <c r="X145" s="8" t="s">
        <v>91</v>
      </c>
      <c r="Y145" s="8" t="s">
        <v>124</v>
      </c>
      <c r="Z145" s="10"/>
    </row>
    <row r="146" customFormat="false" ht="15.75" hidden="false" customHeight="false" outlineLevel="0" collapsed="false">
      <c r="A146" s="1" t="n">
        <v>1088</v>
      </c>
      <c r="B146" s="1" t="n">
        <v>1</v>
      </c>
      <c r="C146" s="1" t="s">
        <v>193</v>
      </c>
      <c r="D146" s="1" t="s">
        <v>34</v>
      </c>
      <c r="E146" s="1" t="s">
        <v>35</v>
      </c>
      <c r="F146" s="1" t="s">
        <v>108</v>
      </c>
      <c r="H146" s="1" t="n">
        <v>40.6</v>
      </c>
      <c r="I146" s="1" t="n">
        <v>10070155</v>
      </c>
      <c r="J146" s="1" t="n">
        <v>5474750</v>
      </c>
      <c r="K146" s="1" t="n">
        <v>108127</v>
      </c>
      <c r="L146" s="1" t="n">
        <v>6127189</v>
      </c>
      <c r="M146" s="1" t="n">
        <v>5855033</v>
      </c>
      <c r="N146" s="1" t="n">
        <v>632483</v>
      </c>
      <c r="O146" s="1" t="n">
        <v>2522826</v>
      </c>
      <c r="P146" s="1" t="n">
        <v>1189694</v>
      </c>
      <c r="Q146" s="1" t="n">
        <f aca="false">J146/$I146</f>
        <v>0.543660946628925</v>
      </c>
      <c r="R146" s="1" t="n">
        <f aca="false">K146/$I146</f>
        <v>0.0107373719669658</v>
      </c>
      <c r="S146" s="1" t="n">
        <f aca="false">L146/$I146</f>
        <v>0.608450316802472</v>
      </c>
      <c r="T146" s="1" t="n">
        <f aca="false">M146/$I146</f>
        <v>0.581424317699181</v>
      </c>
      <c r="U146" s="1" t="n">
        <f aca="false">N146/$I146</f>
        <v>0.0628076727716704</v>
      </c>
      <c r="V146" s="1" t="n">
        <f aca="false">O146/$I146</f>
        <v>0.25052504157086</v>
      </c>
      <c r="W146" s="1" t="n">
        <f aca="false">P146/$I146</f>
        <v>0.118140584727842</v>
      </c>
      <c r="X146" s="8" t="s">
        <v>109</v>
      </c>
      <c r="Y146" s="8" t="s">
        <v>128</v>
      </c>
      <c r="Z146" s="9" t="s">
        <v>110</v>
      </c>
    </row>
    <row r="147" customFormat="false" ht="15.75" hidden="true" customHeight="false" outlineLevel="0" collapsed="false">
      <c r="A147" s="1" t="n">
        <v>1098</v>
      </c>
      <c r="C147" s="1" t="s">
        <v>194</v>
      </c>
      <c r="E147" s="1" t="s">
        <v>99</v>
      </c>
      <c r="H147" s="1" t="n">
        <v>35.4</v>
      </c>
      <c r="X147" s="10"/>
      <c r="Y147" s="8" t="s">
        <v>133</v>
      </c>
      <c r="Z147" s="10"/>
    </row>
    <row r="148" customFormat="false" ht="15.75" hidden="true" customHeight="false" outlineLevel="0" collapsed="false">
      <c r="A148" s="1" t="n">
        <v>1099</v>
      </c>
      <c r="C148" s="1" t="s">
        <v>195</v>
      </c>
      <c r="E148" s="1" t="s">
        <v>99</v>
      </c>
      <c r="H148" s="1" t="s">
        <v>38</v>
      </c>
      <c r="X148" s="10"/>
      <c r="Y148" s="8" t="s">
        <v>133</v>
      </c>
      <c r="Z148" s="10"/>
    </row>
    <row r="149" customFormat="false" ht="15.75" hidden="true" customHeight="false" outlineLevel="0" collapsed="false">
      <c r="A149" s="1" t="n">
        <v>1101</v>
      </c>
      <c r="B149" s="1" t="n">
        <v>1</v>
      </c>
      <c r="C149" s="1" t="s">
        <v>196</v>
      </c>
      <c r="E149" s="1" t="s">
        <v>99</v>
      </c>
      <c r="F149" s="1" t="s">
        <v>197</v>
      </c>
      <c r="H149" s="1" t="n">
        <v>41.6</v>
      </c>
      <c r="X149" s="10"/>
      <c r="Y149" s="8" t="s">
        <v>85</v>
      </c>
      <c r="Z149" s="10"/>
    </row>
    <row r="150" customFormat="false" ht="15.75" hidden="true" customHeight="false" outlineLevel="0" collapsed="false">
      <c r="A150" s="1" t="n">
        <v>1105</v>
      </c>
      <c r="C150" s="1" t="s">
        <v>198</v>
      </c>
      <c r="E150" s="1" t="s">
        <v>99</v>
      </c>
      <c r="H150" s="1" t="n">
        <v>5.74</v>
      </c>
      <c r="X150" s="10"/>
      <c r="Y150" s="8" t="s">
        <v>133</v>
      </c>
      <c r="Z150" s="10"/>
    </row>
    <row r="151" customFormat="false" ht="15.75" hidden="true" customHeight="false" outlineLevel="0" collapsed="false">
      <c r="A151" s="1" t="n">
        <v>1108</v>
      </c>
      <c r="C151" s="1" t="s">
        <v>199</v>
      </c>
      <c r="E151" s="1" t="s">
        <v>35</v>
      </c>
      <c r="G151" s="1" t="n">
        <v>32.911</v>
      </c>
      <c r="H151" s="1" t="s">
        <v>38</v>
      </c>
      <c r="X151" s="10"/>
      <c r="Y151" s="8" t="s">
        <v>200</v>
      </c>
      <c r="Z151" s="10"/>
    </row>
    <row r="152" customFormat="false" ht="15.75" hidden="true" customHeight="false" outlineLevel="0" collapsed="false">
      <c r="A152" s="1" t="n">
        <v>1109</v>
      </c>
      <c r="C152" s="1" t="s">
        <v>201</v>
      </c>
      <c r="E152" s="1" t="s">
        <v>35</v>
      </c>
      <c r="G152" s="1" t="n">
        <v>7.667</v>
      </c>
      <c r="H152" s="1" t="n">
        <v>54</v>
      </c>
      <c r="X152" s="10"/>
      <c r="Y152" s="8" t="s">
        <v>200</v>
      </c>
      <c r="Z152" s="10"/>
    </row>
    <row r="153" customFormat="false" ht="15.75" hidden="true" customHeight="false" outlineLevel="0" collapsed="false">
      <c r="A153" s="1" t="n">
        <v>1110</v>
      </c>
      <c r="C153" s="1" t="s">
        <v>202</v>
      </c>
      <c r="E153" s="1" t="s">
        <v>35</v>
      </c>
      <c r="G153" s="1" t="n">
        <v>40.549</v>
      </c>
      <c r="H153" s="1" t="n">
        <v>76.4</v>
      </c>
      <c r="X153" s="10"/>
      <c r="Y153" s="8" t="s">
        <v>200</v>
      </c>
      <c r="Z153" s="10"/>
    </row>
    <row r="154" customFormat="false" ht="15.75" hidden="true" customHeight="false" outlineLevel="0" collapsed="false">
      <c r="A154" s="1" t="n">
        <v>1112</v>
      </c>
      <c r="C154" s="1" t="s">
        <v>203</v>
      </c>
      <c r="E154" s="1" t="s">
        <v>99</v>
      </c>
      <c r="G154" s="1" t="n">
        <v>41.916</v>
      </c>
      <c r="H154" s="1" t="s">
        <v>38</v>
      </c>
      <c r="X154" s="10"/>
      <c r="Y154" s="8" t="s">
        <v>200</v>
      </c>
      <c r="Z154" s="10"/>
    </row>
    <row r="155" customFormat="false" ht="15.75" hidden="true" customHeight="false" outlineLevel="0" collapsed="false">
      <c r="A155" s="1" t="n">
        <v>1113</v>
      </c>
      <c r="C155" s="1" t="s">
        <v>204</v>
      </c>
      <c r="E155" s="1" t="s">
        <v>99</v>
      </c>
      <c r="G155" s="1" t="n">
        <v>63.167</v>
      </c>
      <c r="H155" s="1" t="n">
        <v>32</v>
      </c>
      <c r="X155" s="10"/>
      <c r="Y155" s="8" t="s">
        <v>200</v>
      </c>
      <c r="Z155" s="10"/>
    </row>
    <row r="156" customFormat="false" ht="15.75" hidden="true" customHeight="false" outlineLevel="0" collapsed="false">
      <c r="A156" s="1" t="n">
        <v>1114</v>
      </c>
      <c r="C156" s="1" t="s">
        <v>205</v>
      </c>
      <c r="E156" s="1" t="s">
        <v>99</v>
      </c>
      <c r="G156" s="1" t="n">
        <v>44.215</v>
      </c>
      <c r="H156" s="1" t="n">
        <v>15.3</v>
      </c>
      <c r="X156" s="10"/>
      <c r="Y156" s="8" t="s">
        <v>200</v>
      </c>
      <c r="Z156" s="10"/>
    </row>
    <row r="157" customFormat="false" ht="15.75" hidden="true" customHeight="false" outlineLevel="0" collapsed="false">
      <c r="A157" s="1" t="n">
        <v>1116</v>
      </c>
      <c r="C157" s="1" t="s">
        <v>206</v>
      </c>
      <c r="E157" s="1" t="s">
        <v>35</v>
      </c>
      <c r="G157" s="1" t="n">
        <v>84.6</v>
      </c>
      <c r="H157" s="1" t="n">
        <v>15.8</v>
      </c>
      <c r="X157" s="10"/>
      <c r="Y157" s="8" t="s">
        <v>200</v>
      </c>
      <c r="Z157" s="10"/>
    </row>
    <row r="158" customFormat="false" ht="15.75" hidden="true" customHeight="false" outlineLevel="0" collapsed="false">
      <c r="A158" s="1" t="n">
        <v>1118</v>
      </c>
      <c r="C158" s="1" t="s">
        <v>207</v>
      </c>
      <c r="E158" s="1" t="s">
        <v>28</v>
      </c>
      <c r="G158" s="1" t="n">
        <v>66.786</v>
      </c>
      <c r="H158" s="1" t="s">
        <v>38</v>
      </c>
      <c r="X158" s="10"/>
      <c r="Y158" s="8" t="s">
        <v>200</v>
      </c>
      <c r="Z158" s="10"/>
    </row>
    <row r="159" customFormat="false" ht="15.75" hidden="true" customHeight="false" outlineLevel="0" collapsed="false">
      <c r="A159" s="1" t="n">
        <v>1119</v>
      </c>
      <c r="C159" s="1" t="s">
        <v>208</v>
      </c>
      <c r="E159" s="1" t="s">
        <v>99</v>
      </c>
      <c r="G159" s="1" t="n">
        <v>26.649</v>
      </c>
      <c r="H159" s="1" t="n">
        <v>19.1</v>
      </c>
      <c r="X159" s="10"/>
      <c r="Y159" s="8" t="s">
        <v>200</v>
      </c>
      <c r="Z159" s="10"/>
    </row>
    <row r="160" customFormat="false" ht="15.75" hidden="true" customHeight="false" outlineLevel="0" collapsed="false">
      <c r="A160" s="1" t="n">
        <v>1120</v>
      </c>
      <c r="C160" s="1" t="s">
        <v>209</v>
      </c>
      <c r="E160" s="1" t="s">
        <v>99</v>
      </c>
      <c r="G160" s="1" t="n">
        <v>120.716</v>
      </c>
      <c r="H160" s="1" t="n">
        <v>5.24</v>
      </c>
      <c r="X160" s="10"/>
      <c r="Y160" s="8" t="s">
        <v>200</v>
      </c>
      <c r="Z160" s="10"/>
    </row>
    <row r="161" customFormat="false" ht="15.75" hidden="true" customHeight="false" outlineLevel="0" collapsed="false">
      <c r="A161" s="1" t="n">
        <v>1121</v>
      </c>
      <c r="C161" s="1" t="s">
        <v>210</v>
      </c>
      <c r="E161" s="1" t="s">
        <v>99</v>
      </c>
      <c r="G161" s="1" t="n">
        <v>31.821</v>
      </c>
      <c r="H161" s="1" t="s">
        <v>38</v>
      </c>
      <c r="X161" s="10"/>
      <c r="Y161" s="8" t="s">
        <v>200</v>
      </c>
      <c r="Z161" s="10"/>
    </row>
    <row r="162" customFormat="false" ht="15.75" hidden="true" customHeight="false" outlineLevel="0" collapsed="false">
      <c r="A162" s="1" t="n">
        <v>1132</v>
      </c>
      <c r="C162" s="1" t="s">
        <v>211</v>
      </c>
      <c r="E162" s="1" t="s">
        <v>99</v>
      </c>
      <c r="G162" s="1" t="n">
        <v>132.078</v>
      </c>
      <c r="H162" s="1" t="s">
        <v>38</v>
      </c>
      <c r="X162" s="10"/>
      <c r="Y162" s="8" t="s">
        <v>200</v>
      </c>
      <c r="Z162" s="10"/>
    </row>
    <row r="163" customFormat="false" ht="15.75" hidden="true" customHeight="false" outlineLevel="0" collapsed="false">
      <c r="A163" s="1" t="n">
        <v>1150</v>
      </c>
      <c r="C163" s="1" t="s">
        <v>212</v>
      </c>
      <c r="E163" s="1" t="s">
        <v>35</v>
      </c>
      <c r="X163" s="10"/>
      <c r="Y163" s="10"/>
      <c r="Z163" s="10"/>
    </row>
    <row r="164" customFormat="false" ht="15.75" hidden="true" customHeight="false" outlineLevel="0" collapsed="false">
      <c r="A164" s="1" t="n">
        <v>1161</v>
      </c>
      <c r="C164" s="1" t="s">
        <v>213</v>
      </c>
      <c r="E164" s="1" t="s">
        <v>35</v>
      </c>
      <c r="H164" s="1" t="n">
        <v>45.2</v>
      </c>
      <c r="X164" s="10"/>
      <c r="Y164" s="8" t="s">
        <v>214</v>
      </c>
      <c r="Z164" s="10"/>
    </row>
    <row r="165" customFormat="false" ht="15.75" hidden="true" customHeight="false" outlineLevel="0" collapsed="false">
      <c r="A165" s="1" t="n">
        <v>1163</v>
      </c>
      <c r="C165" s="1" t="s">
        <v>215</v>
      </c>
      <c r="E165" s="1" t="s">
        <v>28</v>
      </c>
      <c r="H165" s="1" t="n">
        <v>86.6</v>
      </c>
      <c r="X165" s="10"/>
      <c r="Y165" s="8" t="s">
        <v>214</v>
      </c>
      <c r="Z165" s="10"/>
    </row>
    <row r="166" customFormat="false" ht="15.75" hidden="true" customHeight="false" outlineLevel="0" collapsed="false">
      <c r="A166" s="1" t="n">
        <v>1164</v>
      </c>
      <c r="C166" s="1" t="s">
        <v>216</v>
      </c>
      <c r="E166" s="1" t="s">
        <v>35</v>
      </c>
      <c r="H166" s="1" t="n">
        <v>5.1</v>
      </c>
      <c r="X166" s="10"/>
      <c r="Y166" s="8" t="s">
        <v>214</v>
      </c>
      <c r="Z166" s="10"/>
    </row>
    <row r="167" customFormat="false" ht="15.75" hidden="true" customHeight="false" outlineLevel="0" collapsed="false">
      <c r="A167" s="1" t="n">
        <v>1170</v>
      </c>
      <c r="C167" s="1" t="s">
        <v>217</v>
      </c>
      <c r="E167" s="1" t="s">
        <v>35</v>
      </c>
      <c r="H167" s="1" t="n">
        <v>17.5</v>
      </c>
      <c r="X167" s="10"/>
      <c r="Y167" s="8" t="s">
        <v>214</v>
      </c>
      <c r="Z167" s="10"/>
    </row>
    <row r="168" customFormat="false" ht="15.75" hidden="false" customHeight="false" outlineLevel="0" collapsed="false">
      <c r="A168" s="1" t="n">
        <v>2001</v>
      </c>
      <c r="B168" s="1" t="n">
        <v>1</v>
      </c>
      <c r="C168" s="1" t="s">
        <v>218</v>
      </c>
      <c r="D168" s="1" t="s">
        <v>34</v>
      </c>
      <c r="E168" s="1" t="s">
        <v>99</v>
      </c>
      <c r="F168" s="1" t="s">
        <v>69</v>
      </c>
      <c r="H168" s="1" t="n">
        <v>7.44</v>
      </c>
      <c r="I168" s="1" t="n">
        <v>18113488</v>
      </c>
      <c r="J168" s="1" t="n">
        <v>3434469</v>
      </c>
      <c r="K168" s="1" t="n">
        <v>58024</v>
      </c>
      <c r="L168" s="1" t="n">
        <v>3502117</v>
      </c>
      <c r="M168" s="1" t="n">
        <v>3497305</v>
      </c>
      <c r="N168" s="1" t="n">
        <v>302612</v>
      </c>
      <c r="O168" s="1" t="n">
        <v>1971931</v>
      </c>
      <c r="P168" s="1" t="n">
        <v>12454201</v>
      </c>
      <c r="Q168" s="1" t="n">
        <v>0.189608373605349</v>
      </c>
      <c r="R168" s="1" t="n">
        <v>0.003203358734662</v>
      </c>
      <c r="S168" s="1" t="n">
        <v>0.193343049113456</v>
      </c>
      <c r="T168" s="1" t="n">
        <v>0.193077390726734</v>
      </c>
      <c r="U168" s="1" t="n">
        <v>0.016706445495202</v>
      </c>
      <c r="V168" s="1" t="n">
        <v>0.108865338360011</v>
      </c>
      <c r="W168" s="1" t="n">
        <v>0.687565034409717</v>
      </c>
      <c r="X168" s="8" t="s">
        <v>70</v>
      </c>
      <c r="Y168" s="8" t="s">
        <v>219</v>
      </c>
      <c r="Z168" s="9" t="s">
        <v>72</v>
      </c>
    </row>
    <row r="169" customFormat="false" ht="15.75" hidden="true" customHeight="false" outlineLevel="0" collapsed="false">
      <c r="A169" s="1" t="n">
        <v>2002</v>
      </c>
      <c r="C169" s="1" t="s">
        <v>220</v>
      </c>
      <c r="E169" s="1" t="s">
        <v>99</v>
      </c>
      <c r="H169" s="1" t="s">
        <v>38</v>
      </c>
      <c r="X169" s="10"/>
      <c r="Y169" s="8" t="s">
        <v>219</v>
      </c>
      <c r="Z169" s="10"/>
    </row>
    <row r="170" customFormat="false" ht="15.75" hidden="false" customHeight="false" outlineLevel="0" collapsed="false">
      <c r="A170" s="1" t="n">
        <v>2003</v>
      </c>
      <c r="B170" s="1" t="n">
        <v>1</v>
      </c>
      <c r="C170" s="1" t="s">
        <v>221</v>
      </c>
      <c r="D170" s="1" t="s">
        <v>34</v>
      </c>
      <c r="E170" s="1" t="s">
        <v>99</v>
      </c>
      <c r="F170" s="1" t="s">
        <v>69</v>
      </c>
      <c r="H170" s="1" t="n">
        <v>12</v>
      </c>
      <c r="I170" s="1" t="n">
        <v>13434347</v>
      </c>
      <c r="J170" s="1" t="n">
        <v>1487987</v>
      </c>
      <c r="K170" s="1" t="n">
        <v>25211</v>
      </c>
      <c r="L170" s="1" t="n">
        <v>1820348</v>
      </c>
      <c r="M170" s="1" t="n">
        <v>1666773</v>
      </c>
      <c r="N170" s="1" t="n">
        <v>283035</v>
      </c>
      <c r="O170" s="1" t="n">
        <v>2794397</v>
      </c>
      <c r="P170" s="1" t="n">
        <v>8810614</v>
      </c>
      <c r="Q170" s="1" t="n">
        <v>0.110759905189288</v>
      </c>
      <c r="R170" s="1" t="n">
        <v>0.0018766077726</v>
      </c>
      <c r="S170" s="1" t="n">
        <v>0.13549955200651</v>
      </c>
      <c r="T170" s="1" t="n">
        <v>0.124068032484199</v>
      </c>
      <c r="U170" s="1" t="n">
        <v>0.021068013205257</v>
      </c>
      <c r="V170" s="1" t="n">
        <v>0.208003932010986</v>
      </c>
      <c r="W170" s="1" t="n">
        <v>0.655827484581126</v>
      </c>
      <c r="X170" s="8" t="s">
        <v>70</v>
      </c>
      <c r="Y170" s="8" t="s">
        <v>219</v>
      </c>
      <c r="Z170" s="9" t="s">
        <v>72</v>
      </c>
    </row>
    <row r="171" customFormat="false" ht="15.75" hidden="false" customHeight="false" outlineLevel="0" collapsed="false">
      <c r="A171" s="1" t="n">
        <v>2003</v>
      </c>
      <c r="B171" s="1" t="n">
        <v>1</v>
      </c>
      <c r="C171" s="1" t="s">
        <v>221</v>
      </c>
      <c r="D171" s="1" t="s">
        <v>34</v>
      </c>
      <c r="E171" s="1" t="s">
        <v>99</v>
      </c>
      <c r="F171" s="1" t="s">
        <v>154</v>
      </c>
      <c r="H171" s="1" t="n">
        <v>12</v>
      </c>
      <c r="X171" s="8" t="s">
        <v>70</v>
      </c>
      <c r="Y171" s="8" t="s">
        <v>219</v>
      </c>
      <c r="Z171" s="9" t="s">
        <v>72</v>
      </c>
    </row>
    <row r="172" customFormat="false" ht="15.75" hidden="false" customHeight="false" outlineLevel="0" collapsed="false">
      <c r="A172" s="1" t="n">
        <v>2004</v>
      </c>
      <c r="B172" s="1" t="n">
        <v>1</v>
      </c>
      <c r="C172" s="1" t="s">
        <v>222</v>
      </c>
      <c r="D172" s="1" t="s">
        <v>34</v>
      </c>
      <c r="E172" s="1" t="s">
        <v>99</v>
      </c>
      <c r="F172" s="1" t="s">
        <v>69</v>
      </c>
      <c r="H172" s="1" t="n">
        <v>8.56</v>
      </c>
      <c r="I172" s="1" t="n">
        <v>21483076</v>
      </c>
      <c r="J172" s="1" t="n">
        <v>2386589</v>
      </c>
      <c r="K172" s="1" t="n">
        <v>40343</v>
      </c>
      <c r="L172" s="1" t="n">
        <v>2775726</v>
      </c>
      <c r="M172" s="1" t="n">
        <v>2601329</v>
      </c>
      <c r="N172" s="1" t="n">
        <v>159142</v>
      </c>
      <c r="O172" s="1" t="n">
        <v>1030492</v>
      </c>
      <c r="P172" s="1" t="n">
        <v>17731450</v>
      </c>
      <c r="Q172" s="1" t="n">
        <v>0.111091586698292</v>
      </c>
      <c r="R172" s="1" t="n">
        <v>0.001877896815149</v>
      </c>
      <c r="S172" s="1" t="n">
        <v>0.12920524044136</v>
      </c>
      <c r="T172" s="1" t="n">
        <v>0.1210873619774</v>
      </c>
      <c r="U172" s="1" t="n">
        <v>0.007407784620787</v>
      </c>
      <c r="V172" s="1" t="n">
        <v>0.047967618789786</v>
      </c>
      <c r="W172" s="1" t="n">
        <v>0.825368303868589</v>
      </c>
      <c r="X172" s="8" t="s">
        <v>70</v>
      </c>
      <c r="Y172" s="8" t="s">
        <v>219</v>
      </c>
      <c r="Z172" s="9" t="s">
        <v>72</v>
      </c>
    </row>
    <row r="173" customFormat="false" ht="15.75" hidden="false" customHeight="false" outlineLevel="0" collapsed="false">
      <c r="A173" s="1" t="n">
        <v>2005</v>
      </c>
      <c r="B173" s="1" t="n">
        <v>1</v>
      </c>
      <c r="C173" s="1" t="s">
        <v>223</v>
      </c>
      <c r="D173" s="1" t="s">
        <v>34</v>
      </c>
      <c r="E173" s="1" t="s">
        <v>99</v>
      </c>
      <c r="F173" s="1" t="s">
        <v>108</v>
      </c>
      <c r="H173" s="1" t="n">
        <v>74.8</v>
      </c>
      <c r="I173" s="1" t="n">
        <v>10324025</v>
      </c>
      <c r="J173" s="1" t="n">
        <v>4423559</v>
      </c>
      <c r="K173" s="1" t="n">
        <v>79946</v>
      </c>
      <c r="L173" s="1" t="n">
        <v>4752233</v>
      </c>
      <c r="M173" s="1" t="n">
        <v>4627869</v>
      </c>
      <c r="N173" s="1" t="n">
        <v>515934</v>
      </c>
      <c r="O173" s="1" t="n">
        <v>2928912</v>
      </c>
      <c r="P173" s="1" t="n">
        <v>2420777</v>
      </c>
      <c r="Q173" s="1" t="n">
        <f aca="false">J173/$I173</f>
        <v>0.428472325473834</v>
      </c>
      <c r="R173" s="1" t="n">
        <f aca="false">K173/$I173</f>
        <v>0.00774368523904194</v>
      </c>
      <c r="S173" s="1" t="n">
        <f aca="false">L173/$I173</f>
        <v>0.460308164693518</v>
      </c>
      <c r="T173" s="1" t="n">
        <f aca="false">M173/$I173</f>
        <v>0.448262087703197</v>
      </c>
      <c r="U173" s="1" t="n">
        <f aca="false">N173/$I173</f>
        <v>0.0499741137782987</v>
      </c>
      <c r="V173" s="1" t="n">
        <f aca="false">O173/$I173</f>
        <v>0.283698654352348</v>
      </c>
      <c r="W173" s="1" t="n">
        <f aca="false">P173/$I173</f>
        <v>0.234479962998927</v>
      </c>
      <c r="X173" s="8" t="s">
        <v>109</v>
      </c>
      <c r="Y173" s="8" t="s">
        <v>219</v>
      </c>
      <c r="Z173" s="9" t="s">
        <v>110</v>
      </c>
    </row>
    <row r="174" customFormat="false" ht="15.75" hidden="true" customHeight="false" outlineLevel="0" collapsed="false">
      <c r="A174" s="1" t="n">
        <v>2006</v>
      </c>
      <c r="B174" s="1" t="n">
        <v>1</v>
      </c>
      <c r="C174" s="1" t="s">
        <v>224</v>
      </c>
      <c r="D174" s="1" t="s">
        <v>27</v>
      </c>
      <c r="E174" s="1" t="s">
        <v>99</v>
      </c>
      <c r="F174" s="1" t="s">
        <v>69</v>
      </c>
      <c r="H174" s="1" t="n">
        <v>4.4</v>
      </c>
      <c r="I174" s="1" t="n">
        <v>24028322</v>
      </c>
      <c r="J174" s="1" t="n">
        <v>397827</v>
      </c>
      <c r="K174" s="1" t="n">
        <v>10092</v>
      </c>
      <c r="L174" s="1" t="n">
        <v>8266421</v>
      </c>
      <c r="M174" s="1" t="n">
        <v>4337170</v>
      </c>
      <c r="N174" s="1" t="n">
        <v>264113</v>
      </c>
      <c r="O174" s="1" t="n">
        <v>309240</v>
      </c>
      <c r="P174" s="1" t="n">
        <v>19132974</v>
      </c>
      <c r="Q174" s="1" t="n">
        <v>0.016556586847804</v>
      </c>
      <c r="R174" s="1" t="n">
        <v>0.000420004359855</v>
      </c>
      <c r="S174" s="1" t="n">
        <v>0.344028226357213</v>
      </c>
      <c r="T174" s="1" t="n">
        <v>0.180502408782436</v>
      </c>
      <c r="U174" s="1" t="n">
        <v>0.010991737167498</v>
      </c>
      <c r="V174" s="1" t="n">
        <v>0.012869812548708</v>
      </c>
      <c r="W174" s="1" t="n">
        <v>0.796267587890657</v>
      </c>
      <c r="X174" s="8" t="s">
        <v>70</v>
      </c>
      <c r="Y174" s="8" t="s">
        <v>219</v>
      </c>
      <c r="Z174" s="9" t="s">
        <v>72</v>
      </c>
    </row>
    <row r="175" customFormat="false" ht="15.75" hidden="false" customHeight="false" outlineLevel="0" collapsed="false">
      <c r="A175" s="1" t="n">
        <v>2007</v>
      </c>
      <c r="B175" s="1" t="n">
        <v>1</v>
      </c>
      <c r="C175" s="1" t="s">
        <v>225</v>
      </c>
      <c r="D175" s="1" t="s">
        <v>34</v>
      </c>
      <c r="E175" s="1" t="s">
        <v>99</v>
      </c>
      <c r="F175" s="1" t="s">
        <v>108</v>
      </c>
      <c r="H175" s="1" t="n">
        <v>23.2</v>
      </c>
      <c r="I175" s="1" t="n">
        <v>10248829</v>
      </c>
      <c r="J175" s="1" t="n">
        <v>2587115</v>
      </c>
      <c r="K175" s="1" t="n">
        <v>41987</v>
      </c>
      <c r="L175" s="1" t="n">
        <v>3073220</v>
      </c>
      <c r="M175" s="1" t="n">
        <v>2851161</v>
      </c>
      <c r="N175" s="1" t="n">
        <v>398697</v>
      </c>
      <c r="O175" s="1" t="n">
        <v>2312421</v>
      </c>
      <c r="P175" s="1" t="n">
        <v>4831327</v>
      </c>
      <c r="Q175" s="1" t="n">
        <f aca="false">J175/$I175</f>
        <v>0.252430302037433</v>
      </c>
      <c r="R175" s="1" t="n">
        <f aca="false">K175/$I175</f>
        <v>0.00409676071285803</v>
      </c>
      <c r="S175" s="1" t="n">
        <f aca="false">L175/$I175</f>
        <v>0.299860598708399</v>
      </c>
      <c r="T175" s="1" t="n">
        <f aca="false">M175/$I175</f>
        <v>0.278193830729345</v>
      </c>
      <c r="U175" s="1" t="n">
        <f aca="false">N175/$I175</f>
        <v>0.0389017125761392</v>
      </c>
      <c r="V175" s="1" t="n">
        <f aca="false">O175/$I175</f>
        <v>0.225627825383758</v>
      </c>
      <c r="W175" s="1" t="n">
        <f aca="false">P175/$I175</f>
        <v>0.471402830508734</v>
      </c>
      <c r="X175" s="8" t="s">
        <v>109</v>
      </c>
      <c r="Y175" s="8" t="s">
        <v>219</v>
      </c>
      <c r="Z175" s="9" t="s">
        <v>110</v>
      </c>
    </row>
    <row r="176" customFormat="false" ht="15.75" hidden="false" customHeight="false" outlineLevel="0" collapsed="false">
      <c r="A176" s="1" t="n">
        <v>2007</v>
      </c>
      <c r="B176" s="1" t="n">
        <v>1</v>
      </c>
      <c r="C176" s="1" t="s">
        <v>225</v>
      </c>
      <c r="D176" s="1" t="s">
        <v>34</v>
      </c>
      <c r="E176" s="1" t="s">
        <v>99</v>
      </c>
      <c r="F176" s="1" t="s">
        <v>170</v>
      </c>
      <c r="H176" s="1" t="n">
        <v>23.2</v>
      </c>
      <c r="I176" s="1" t="n">
        <v>10906480</v>
      </c>
      <c r="J176" s="1" t="n">
        <v>2753013</v>
      </c>
      <c r="K176" s="1" t="n">
        <v>44590</v>
      </c>
      <c r="L176" s="1" t="n">
        <v>3271647</v>
      </c>
      <c r="M176" s="1" t="n">
        <v>3034625</v>
      </c>
      <c r="N176" s="1" t="n">
        <v>424573</v>
      </c>
      <c r="O176" s="1" t="n">
        <v>2461825</v>
      </c>
      <c r="P176" s="1" t="n">
        <v>5139216</v>
      </c>
      <c r="Q176" s="1" t="n">
        <v>0.252419937505043</v>
      </c>
      <c r="R176" s="1" t="n">
        <v>0.004088395155907</v>
      </c>
      <c r="S176" s="1" t="n">
        <v>0.29997276848259</v>
      </c>
      <c r="T176" s="1" t="n">
        <v>0.27824055057177</v>
      </c>
      <c r="U176" s="1" t="n">
        <v>0.038928508556381</v>
      </c>
      <c r="V176" s="1" t="n">
        <v>0.225721314301223</v>
      </c>
      <c r="W176" s="1" t="n">
        <v>0.471207575679779</v>
      </c>
      <c r="X176" s="8" t="s">
        <v>109</v>
      </c>
      <c r="Y176" s="8" t="s">
        <v>219</v>
      </c>
      <c r="Z176" s="9" t="s">
        <v>110</v>
      </c>
    </row>
    <row r="177" customFormat="false" ht="15.75" hidden="false" customHeight="false" outlineLevel="0" collapsed="false">
      <c r="C177" s="1" t="s">
        <v>226</v>
      </c>
      <c r="E177" s="1" t="s">
        <v>28</v>
      </c>
      <c r="X177" s="10"/>
      <c r="Y177" s="8" t="s">
        <v>227</v>
      </c>
      <c r="Z177" s="10"/>
    </row>
    <row r="178" customFormat="false" ht="15.75" hidden="false" customHeight="false" outlineLevel="0" collapsed="false">
      <c r="C178" s="1" t="s">
        <v>228</v>
      </c>
      <c r="E178" s="1" t="s">
        <v>28</v>
      </c>
      <c r="X178" s="10"/>
      <c r="Y178" s="8" t="s">
        <v>227</v>
      </c>
      <c r="Z178" s="10"/>
    </row>
    <row r="179" customFormat="false" ht="15.75" hidden="true" customHeight="false" outlineLevel="0" collapsed="false">
      <c r="X179" s="10"/>
      <c r="Y179" s="10"/>
      <c r="Z179" s="10"/>
    </row>
    <row r="180" customFormat="false" ht="15.75" hidden="true" customHeight="false" outlineLevel="0" collapsed="false">
      <c r="X180" s="10"/>
      <c r="Y180" s="10"/>
      <c r="Z180" s="10"/>
    </row>
    <row r="181" customFormat="false" ht="15.75" hidden="true" customHeight="false" outlineLevel="0" collapsed="false">
      <c r="X181" s="10"/>
      <c r="Y181" s="10"/>
      <c r="Z181" s="10"/>
    </row>
    <row r="182" customFormat="false" ht="15.75" hidden="true" customHeight="false" outlineLevel="0" collapsed="false">
      <c r="X182" s="10"/>
      <c r="Y182" s="10"/>
      <c r="Z182" s="10"/>
    </row>
    <row r="183" customFormat="false" ht="15.75" hidden="true" customHeight="false" outlineLevel="0" collapsed="false">
      <c r="X183" s="10"/>
      <c r="Y183" s="10"/>
      <c r="Z183" s="10"/>
    </row>
    <row r="184" customFormat="false" ht="15.75" hidden="true" customHeight="false" outlineLevel="0" collapsed="false">
      <c r="X184" s="10"/>
      <c r="Y184" s="10"/>
      <c r="Z184" s="10"/>
    </row>
    <row r="185" customFormat="false" ht="15.75" hidden="true" customHeight="false" outlineLevel="0" collapsed="false">
      <c r="X185" s="10"/>
      <c r="Y185" s="10"/>
      <c r="Z185" s="10"/>
    </row>
    <row r="186" customFormat="false" ht="15.75" hidden="true" customHeight="false" outlineLevel="0" collapsed="false">
      <c r="X186" s="10"/>
      <c r="Y186" s="10"/>
      <c r="Z186" s="10"/>
    </row>
    <row r="187" customFormat="false" ht="15.75" hidden="true" customHeight="false" outlineLevel="0" collapsed="false">
      <c r="X187" s="10"/>
      <c r="Y187" s="10"/>
      <c r="Z187" s="10"/>
    </row>
    <row r="188" customFormat="false" ht="15.75" hidden="true" customHeight="false" outlineLevel="0" collapsed="false">
      <c r="X188" s="10"/>
      <c r="Y188" s="10"/>
      <c r="Z188" s="10"/>
    </row>
    <row r="189" customFormat="false" ht="15.75" hidden="true" customHeight="false" outlineLevel="0" collapsed="false">
      <c r="X189" s="10"/>
      <c r="Y189" s="10"/>
      <c r="Z189" s="10"/>
    </row>
    <row r="190" customFormat="false" ht="15.75" hidden="true" customHeight="false" outlineLevel="0" collapsed="false">
      <c r="X190" s="10"/>
      <c r="Y190" s="10"/>
      <c r="Z190" s="10"/>
    </row>
    <row r="191" customFormat="false" ht="15.75" hidden="true" customHeight="false" outlineLevel="0" collapsed="false">
      <c r="X191" s="10"/>
      <c r="Y191" s="10"/>
      <c r="Z191" s="10"/>
    </row>
    <row r="192" customFormat="false" ht="15.75" hidden="true" customHeight="false" outlineLevel="0" collapsed="false">
      <c r="X192" s="10"/>
      <c r="Y192" s="10"/>
      <c r="Z192" s="10"/>
    </row>
    <row r="193" customFormat="false" ht="15.75" hidden="true" customHeight="false" outlineLevel="0" collapsed="false">
      <c r="X193" s="10"/>
      <c r="Y193" s="10"/>
      <c r="Z193" s="10"/>
    </row>
    <row r="194" customFormat="false" ht="15.75" hidden="true" customHeight="false" outlineLevel="0" collapsed="false">
      <c r="X194" s="10"/>
      <c r="Y194" s="10"/>
      <c r="Z194" s="10"/>
    </row>
    <row r="195" customFormat="false" ht="15.75" hidden="true" customHeight="false" outlineLevel="0" collapsed="false">
      <c r="X195" s="10"/>
      <c r="Y195" s="10"/>
      <c r="Z195" s="10"/>
    </row>
    <row r="196" customFormat="false" ht="15.75" hidden="true" customHeight="false" outlineLevel="0" collapsed="false">
      <c r="X196" s="10"/>
      <c r="Y196" s="10"/>
      <c r="Z196" s="10"/>
    </row>
    <row r="197" customFormat="false" ht="15.75" hidden="true" customHeight="false" outlineLevel="0" collapsed="false">
      <c r="X197" s="10"/>
      <c r="Y197" s="10"/>
      <c r="Z197" s="10"/>
    </row>
    <row r="198" customFormat="false" ht="15.75" hidden="true" customHeight="false" outlineLevel="0" collapsed="false">
      <c r="X198" s="10"/>
      <c r="Y198" s="10"/>
      <c r="Z198" s="10"/>
    </row>
    <row r="199" customFormat="false" ht="15.75" hidden="true" customHeight="false" outlineLevel="0" collapsed="false">
      <c r="X199" s="10"/>
      <c r="Y199" s="10"/>
      <c r="Z199" s="10"/>
    </row>
    <row r="200" customFormat="false" ht="15.75" hidden="true" customHeight="false" outlineLevel="0" collapsed="false">
      <c r="X200" s="10"/>
      <c r="Y200" s="10"/>
      <c r="Z200" s="10"/>
    </row>
    <row r="201" customFormat="false" ht="15.75" hidden="true" customHeight="false" outlineLevel="0" collapsed="false">
      <c r="X201" s="10"/>
      <c r="Y201" s="10"/>
      <c r="Z201" s="10"/>
    </row>
    <row r="202" customFormat="false" ht="15.75" hidden="true" customHeight="false" outlineLevel="0" collapsed="false">
      <c r="X202" s="10"/>
      <c r="Y202" s="10"/>
      <c r="Z202" s="10"/>
    </row>
    <row r="203" customFormat="false" ht="15.75" hidden="true" customHeight="false" outlineLevel="0" collapsed="false">
      <c r="X203" s="10"/>
      <c r="Y203" s="10"/>
      <c r="Z203" s="10"/>
    </row>
    <row r="204" customFormat="false" ht="15.75" hidden="true" customHeight="false" outlineLevel="0" collapsed="false">
      <c r="X204" s="10"/>
      <c r="Y204" s="10"/>
      <c r="Z204" s="10"/>
    </row>
    <row r="205" customFormat="false" ht="15.75" hidden="true" customHeight="false" outlineLevel="0" collapsed="false">
      <c r="X205" s="10"/>
      <c r="Y205" s="10"/>
      <c r="Z205" s="10"/>
    </row>
    <row r="206" customFormat="false" ht="15.75" hidden="true" customHeight="false" outlineLevel="0" collapsed="false">
      <c r="X206" s="10"/>
      <c r="Y206" s="10"/>
      <c r="Z206" s="10"/>
    </row>
    <row r="207" customFormat="false" ht="15.75" hidden="true" customHeight="false" outlineLevel="0" collapsed="false">
      <c r="X207" s="10"/>
      <c r="Y207" s="10"/>
      <c r="Z207" s="10"/>
    </row>
    <row r="208" customFormat="false" ht="15.75" hidden="true" customHeight="false" outlineLevel="0" collapsed="false">
      <c r="X208" s="10"/>
      <c r="Y208" s="10"/>
      <c r="Z208" s="10"/>
    </row>
    <row r="209" customFormat="false" ht="15.75" hidden="true" customHeight="false" outlineLevel="0" collapsed="false">
      <c r="X209" s="10"/>
      <c r="Y209" s="10"/>
      <c r="Z209" s="10"/>
    </row>
    <row r="210" customFormat="false" ht="15.75" hidden="true" customHeight="false" outlineLevel="0" collapsed="false">
      <c r="X210" s="10"/>
      <c r="Y210" s="10"/>
      <c r="Z210" s="10"/>
    </row>
    <row r="211" customFormat="false" ht="15.75" hidden="true" customHeight="false" outlineLevel="0" collapsed="false">
      <c r="X211" s="10"/>
      <c r="Y211" s="10"/>
      <c r="Z211" s="10"/>
    </row>
    <row r="212" customFormat="false" ht="15.75" hidden="true" customHeight="false" outlineLevel="0" collapsed="false">
      <c r="X212" s="10"/>
      <c r="Y212" s="10"/>
      <c r="Z212" s="10"/>
    </row>
    <row r="213" customFormat="false" ht="15.75" hidden="true" customHeight="false" outlineLevel="0" collapsed="false">
      <c r="X213" s="10"/>
      <c r="Y213" s="10"/>
      <c r="Z213" s="10"/>
    </row>
    <row r="214" customFormat="false" ht="15.75" hidden="true" customHeight="false" outlineLevel="0" collapsed="false">
      <c r="X214" s="10"/>
      <c r="Y214" s="10"/>
      <c r="Z214" s="10"/>
    </row>
    <row r="215" customFormat="false" ht="15.75" hidden="true" customHeight="false" outlineLevel="0" collapsed="false">
      <c r="X215" s="10"/>
      <c r="Y215" s="10"/>
      <c r="Z215" s="10"/>
    </row>
    <row r="216" customFormat="false" ht="15.75" hidden="true" customHeight="false" outlineLevel="0" collapsed="false">
      <c r="X216" s="10"/>
      <c r="Y216" s="10"/>
      <c r="Z216" s="10"/>
    </row>
    <row r="217" customFormat="false" ht="15.75" hidden="true" customHeight="false" outlineLevel="0" collapsed="false">
      <c r="X217" s="10"/>
      <c r="Y217" s="10"/>
      <c r="Z217" s="10"/>
    </row>
    <row r="218" customFormat="false" ht="15.75" hidden="true" customHeight="false" outlineLevel="0" collapsed="false">
      <c r="X218" s="10"/>
      <c r="Y218" s="10"/>
      <c r="Z218" s="10"/>
    </row>
    <row r="219" customFormat="false" ht="15.75" hidden="true" customHeight="false" outlineLevel="0" collapsed="false">
      <c r="X219" s="10"/>
      <c r="Y219" s="10"/>
      <c r="Z219" s="10"/>
    </row>
    <row r="220" customFormat="false" ht="15.75" hidden="true" customHeight="false" outlineLevel="0" collapsed="false">
      <c r="X220" s="10"/>
      <c r="Y220" s="10"/>
      <c r="Z220" s="10"/>
    </row>
    <row r="221" customFormat="false" ht="15.75" hidden="true" customHeight="false" outlineLevel="0" collapsed="false">
      <c r="X221" s="10"/>
      <c r="Y221" s="10"/>
      <c r="Z221" s="10"/>
    </row>
    <row r="222" customFormat="false" ht="15.75" hidden="true" customHeight="false" outlineLevel="0" collapsed="false">
      <c r="X222" s="10"/>
      <c r="Y222" s="10"/>
      <c r="Z222" s="10"/>
    </row>
    <row r="223" customFormat="false" ht="15.75" hidden="true" customHeight="false" outlineLevel="0" collapsed="false">
      <c r="X223" s="10"/>
      <c r="Y223" s="10"/>
      <c r="Z223" s="10"/>
    </row>
    <row r="224" customFormat="false" ht="15.75" hidden="true" customHeight="false" outlineLevel="0" collapsed="false">
      <c r="X224" s="10"/>
      <c r="Y224" s="10"/>
      <c r="Z224" s="10"/>
    </row>
    <row r="225" customFormat="false" ht="15.75" hidden="true" customHeight="false" outlineLevel="0" collapsed="false">
      <c r="X225" s="10"/>
      <c r="Y225" s="10"/>
      <c r="Z225" s="10"/>
    </row>
    <row r="226" customFormat="false" ht="15.75" hidden="true" customHeight="false" outlineLevel="0" collapsed="false">
      <c r="X226" s="10"/>
      <c r="Y226" s="10"/>
      <c r="Z226" s="10"/>
    </row>
    <row r="227" customFormat="false" ht="15.75" hidden="true" customHeight="false" outlineLevel="0" collapsed="false">
      <c r="X227" s="10"/>
      <c r="Y227" s="10"/>
      <c r="Z227" s="10"/>
    </row>
    <row r="228" customFormat="false" ht="15.75" hidden="true" customHeight="false" outlineLevel="0" collapsed="false">
      <c r="X228" s="10"/>
      <c r="Y228" s="10"/>
      <c r="Z228" s="10"/>
    </row>
    <row r="229" customFormat="false" ht="15.75" hidden="true" customHeight="false" outlineLevel="0" collapsed="false">
      <c r="X229" s="10"/>
      <c r="Y229" s="10"/>
      <c r="Z229" s="10"/>
    </row>
    <row r="230" customFormat="false" ht="15.75" hidden="true" customHeight="false" outlineLevel="0" collapsed="false">
      <c r="X230" s="10"/>
      <c r="Y230" s="10"/>
      <c r="Z230" s="10"/>
    </row>
    <row r="231" customFormat="false" ht="15.75" hidden="true" customHeight="false" outlineLevel="0" collapsed="false">
      <c r="X231" s="10"/>
      <c r="Y231" s="10"/>
      <c r="Z231" s="10"/>
    </row>
    <row r="232" customFormat="false" ht="15.75" hidden="true" customHeight="false" outlineLevel="0" collapsed="false">
      <c r="X232" s="10"/>
      <c r="Y232" s="10"/>
      <c r="Z232" s="10"/>
    </row>
    <row r="233" customFormat="false" ht="15.75" hidden="true" customHeight="false" outlineLevel="0" collapsed="false">
      <c r="X233" s="10"/>
      <c r="Y233" s="10"/>
      <c r="Z233" s="10"/>
    </row>
    <row r="234" customFormat="false" ht="15.75" hidden="true" customHeight="false" outlineLevel="0" collapsed="false">
      <c r="X234" s="10"/>
      <c r="Y234" s="10"/>
      <c r="Z234" s="10"/>
    </row>
    <row r="235" customFormat="false" ht="15.75" hidden="true" customHeight="false" outlineLevel="0" collapsed="false">
      <c r="X235" s="10"/>
      <c r="Y235" s="10"/>
      <c r="Z235" s="10"/>
    </row>
    <row r="236" customFormat="false" ht="15.75" hidden="true" customHeight="false" outlineLevel="0" collapsed="false">
      <c r="X236" s="10"/>
      <c r="Y236" s="10"/>
      <c r="Z236" s="10"/>
    </row>
    <row r="237" customFormat="false" ht="15.75" hidden="true" customHeight="false" outlineLevel="0" collapsed="false">
      <c r="X237" s="10"/>
      <c r="Y237" s="10"/>
      <c r="Z237" s="10"/>
    </row>
    <row r="238" customFormat="false" ht="15.75" hidden="true" customHeight="false" outlineLevel="0" collapsed="false">
      <c r="X238" s="10"/>
      <c r="Y238" s="10"/>
      <c r="Z238" s="10"/>
    </row>
    <row r="239" customFormat="false" ht="15.75" hidden="true" customHeight="false" outlineLevel="0" collapsed="false">
      <c r="X239" s="10"/>
      <c r="Y239" s="10"/>
      <c r="Z239" s="10"/>
    </row>
    <row r="240" customFormat="false" ht="15.75" hidden="true" customHeight="false" outlineLevel="0" collapsed="false">
      <c r="X240" s="10"/>
      <c r="Y240" s="10"/>
      <c r="Z240" s="10"/>
    </row>
    <row r="241" customFormat="false" ht="15.75" hidden="true" customHeight="false" outlineLevel="0" collapsed="false">
      <c r="X241" s="10"/>
      <c r="Y241" s="10"/>
      <c r="Z241" s="10"/>
    </row>
    <row r="242" customFormat="false" ht="15.75" hidden="true" customHeight="false" outlineLevel="0" collapsed="false">
      <c r="X242" s="10"/>
      <c r="Y242" s="10"/>
      <c r="Z242" s="10"/>
    </row>
    <row r="243" customFormat="false" ht="15.75" hidden="true" customHeight="false" outlineLevel="0" collapsed="false">
      <c r="X243" s="10"/>
      <c r="Y243" s="10"/>
      <c r="Z243" s="10"/>
    </row>
    <row r="244" customFormat="false" ht="15.75" hidden="true" customHeight="false" outlineLevel="0" collapsed="false">
      <c r="X244" s="10"/>
      <c r="Y244" s="10"/>
      <c r="Z244" s="10"/>
    </row>
    <row r="245" customFormat="false" ht="15.75" hidden="true" customHeight="false" outlineLevel="0" collapsed="false">
      <c r="X245" s="10"/>
      <c r="Y245" s="10"/>
      <c r="Z245" s="10"/>
    </row>
    <row r="246" customFormat="false" ht="15.75" hidden="true" customHeight="false" outlineLevel="0" collapsed="false">
      <c r="X246" s="10"/>
      <c r="Y246" s="10"/>
      <c r="Z246" s="10"/>
    </row>
    <row r="247" customFormat="false" ht="15.75" hidden="true" customHeight="false" outlineLevel="0" collapsed="false">
      <c r="X247" s="10"/>
      <c r="Y247" s="10"/>
      <c r="Z247" s="10"/>
    </row>
    <row r="248" customFormat="false" ht="15.75" hidden="true" customHeight="false" outlineLevel="0" collapsed="false">
      <c r="X248" s="10"/>
      <c r="Y248" s="10"/>
      <c r="Z248" s="10"/>
    </row>
    <row r="249" customFormat="false" ht="15.75" hidden="true" customHeight="false" outlineLevel="0" collapsed="false">
      <c r="X249" s="10"/>
      <c r="Y249" s="10"/>
      <c r="Z249" s="10"/>
    </row>
    <row r="250" customFormat="false" ht="15.75" hidden="true" customHeight="false" outlineLevel="0" collapsed="false">
      <c r="X250" s="10"/>
      <c r="Y250" s="10"/>
      <c r="Z250" s="10"/>
    </row>
    <row r="251" customFormat="false" ht="15.75" hidden="true" customHeight="false" outlineLevel="0" collapsed="false">
      <c r="X251" s="10"/>
      <c r="Y251" s="10"/>
      <c r="Z251" s="10"/>
    </row>
    <row r="252" customFormat="false" ht="15.75" hidden="true" customHeight="false" outlineLevel="0" collapsed="false">
      <c r="X252" s="10"/>
      <c r="Y252" s="10"/>
      <c r="Z252" s="10"/>
    </row>
    <row r="253" customFormat="false" ht="15.75" hidden="true" customHeight="false" outlineLevel="0" collapsed="false">
      <c r="X253" s="10"/>
      <c r="Y253" s="10"/>
      <c r="Z253" s="10"/>
    </row>
    <row r="254" customFormat="false" ht="15.75" hidden="true" customHeight="false" outlineLevel="0" collapsed="false">
      <c r="X254" s="10"/>
      <c r="Y254" s="10"/>
      <c r="Z254" s="10"/>
    </row>
    <row r="255" customFormat="false" ht="15.75" hidden="true" customHeight="false" outlineLevel="0" collapsed="false">
      <c r="X255" s="10"/>
      <c r="Y255" s="10"/>
      <c r="Z255" s="10"/>
    </row>
    <row r="256" customFormat="false" ht="15.75" hidden="true" customHeight="false" outlineLevel="0" collapsed="false">
      <c r="X256" s="10"/>
      <c r="Y256" s="10"/>
      <c r="Z256" s="10"/>
    </row>
    <row r="257" customFormat="false" ht="15.75" hidden="true" customHeight="false" outlineLevel="0" collapsed="false">
      <c r="X257" s="10"/>
      <c r="Y257" s="10"/>
      <c r="Z257" s="10"/>
    </row>
    <row r="258" customFormat="false" ht="15.75" hidden="true" customHeight="false" outlineLevel="0" collapsed="false">
      <c r="X258" s="10"/>
      <c r="Y258" s="10"/>
      <c r="Z258" s="10"/>
    </row>
    <row r="259" customFormat="false" ht="15.75" hidden="true" customHeight="false" outlineLevel="0" collapsed="false">
      <c r="X259" s="10"/>
      <c r="Y259" s="10"/>
      <c r="Z259" s="10"/>
    </row>
    <row r="260" customFormat="false" ht="15.75" hidden="true" customHeight="false" outlineLevel="0" collapsed="false">
      <c r="X260" s="10"/>
      <c r="Y260" s="10"/>
      <c r="Z260" s="10"/>
    </row>
    <row r="261" customFormat="false" ht="15.75" hidden="true" customHeight="false" outlineLevel="0" collapsed="false">
      <c r="X261" s="10"/>
      <c r="Y261" s="10"/>
      <c r="Z261" s="10"/>
    </row>
    <row r="262" customFormat="false" ht="15.75" hidden="true" customHeight="false" outlineLevel="0" collapsed="false">
      <c r="X262" s="10"/>
      <c r="Y262" s="10"/>
      <c r="Z262" s="10"/>
    </row>
    <row r="263" customFormat="false" ht="15.75" hidden="true" customHeight="false" outlineLevel="0" collapsed="false">
      <c r="X263" s="10"/>
      <c r="Y263" s="10"/>
      <c r="Z263" s="10"/>
    </row>
    <row r="264" customFormat="false" ht="15.75" hidden="true" customHeight="false" outlineLevel="0" collapsed="false">
      <c r="X264" s="10"/>
      <c r="Y264" s="10"/>
      <c r="Z264" s="10"/>
    </row>
    <row r="265" customFormat="false" ht="15.75" hidden="true" customHeight="false" outlineLevel="0" collapsed="false">
      <c r="X265" s="10"/>
      <c r="Y265" s="10"/>
      <c r="Z265" s="10"/>
    </row>
    <row r="266" customFormat="false" ht="15.75" hidden="true" customHeight="false" outlineLevel="0" collapsed="false">
      <c r="X266" s="10"/>
      <c r="Y266" s="10"/>
      <c r="Z266" s="10"/>
    </row>
    <row r="267" customFormat="false" ht="15.75" hidden="true" customHeight="false" outlineLevel="0" collapsed="false">
      <c r="X267" s="10"/>
      <c r="Y267" s="10"/>
      <c r="Z267" s="10"/>
    </row>
    <row r="268" customFormat="false" ht="15.75" hidden="true" customHeight="false" outlineLevel="0" collapsed="false">
      <c r="X268" s="10"/>
      <c r="Y268" s="10"/>
      <c r="Z268" s="10"/>
    </row>
    <row r="269" customFormat="false" ht="15.75" hidden="true" customHeight="false" outlineLevel="0" collapsed="false">
      <c r="X269" s="10"/>
      <c r="Y269" s="10"/>
      <c r="Z269" s="10"/>
    </row>
    <row r="270" customFormat="false" ht="15.75" hidden="true" customHeight="false" outlineLevel="0" collapsed="false">
      <c r="X270" s="10"/>
      <c r="Y270" s="10"/>
      <c r="Z270" s="10"/>
    </row>
    <row r="271" customFormat="false" ht="15.75" hidden="true" customHeight="false" outlineLevel="0" collapsed="false">
      <c r="X271" s="10"/>
      <c r="Y271" s="10"/>
      <c r="Z271" s="10"/>
    </row>
    <row r="272" customFormat="false" ht="15.75" hidden="true" customHeight="false" outlineLevel="0" collapsed="false">
      <c r="X272" s="10"/>
      <c r="Y272" s="10"/>
      <c r="Z272" s="10"/>
    </row>
    <row r="273" customFormat="false" ht="15.75" hidden="true" customHeight="false" outlineLevel="0" collapsed="false">
      <c r="X273" s="10"/>
      <c r="Y273" s="10"/>
      <c r="Z273" s="10"/>
    </row>
    <row r="274" customFormat="false" ht="15.75" hidden="true" customHeight="false" outlineLevel="0" collapsed="false">
      <c r="X274" s="10"/>
      <c r="Y274" s="10"/>
      <c r="Z274" s="10"/>
    </row>
    <row r="275" customFormat="false" ht="15.75" hidden="true" customHeight="false" outlineLevel="0" collapsed="false">
      <c r="X275" s="10"/>
      <c r="Y275" s="10"/>
      <c r="Z275" s="10"/>
    </row>
    <row r="276" customFormat="false" ht="15.75" hidden="true" customHeight="false" outlineLevel="0" collapsed="false">
      <c r="X276" s="10"/>
      <c r="Y276" s="10"/>
      <c r="Z276" s="10"/>
    </row>
    <row r="277" customFormat="false" ht="15.75" hidden="true" customHeight="false" outlineLevel="0" collapsed="false">
      <c r="X277" s="10"/>
      <c r="Y277" s="10"/>
      <c r="Z277" s="10"/>
    </row>
    <row r="278" customFormat="false" ht="15.75" hidden="true" customHeight="false" outlineLevel="0" collapsed="false">
      <c r="X278" s="10"/>
      <c r="Y278" s="10"/>
      <c r="Z278" s="10"/>
    </row>
    <row r="279" customFormat="false" ht="15.75" hidden="true" customHeight="false" outlineLevel="0" collapsed="false">
      <c r="X279" s="10"/>
      <c r="Y279" s="10"/>
      <c r="Z279" s="10"/>
    </row>
    <row r="280" customFormat="false" ht="15.75" hidden="true" customHeight="false" outlineLevel="0" collapsed="false">
      <c r="X280" s="10"/>
      <c r="Y280" s="10"/>
      <c r="Z280" s="10"/>
    </row>
    <row r="281" customFormat="false" ht="15.75" hidden="true" customHeight="false" outlineLevel="0" collapsed="false">
      <c r="X281" s="10"/>
      <c r="Y281" s="10"/>
      <c r="Z281" s="10"/>
    </row>
    <row r="282" customFormat="false" ht="15.75" hidden="true" customHeight="false" outlineLevel="0" collapsed="false">
      <c r="X282" s="10"/>
      <c r="Y282" s="10"/>
      <c r="Z282" s="10"/>
    </row>
    <row r="283" customFormat="false" ht="15.75" hidden="true" customHeight="false" outlineLevel="0" collapsed="false">
      <c r="X283" s="10"/>
      <c r="Y283" s="10"/>
      <c r="Z283" s="10"/>
    </row>
    <row r="284" customFormat="false" ht="15.75" hidden="true" customHeight="false" outlineLevel="0" collapsed="false">
      <c r="X284" s="10"/>
      <c r="Y284" s="10"/>
      <c r="Z284" s="10"/>
    </row>
    <row r="285" customFormat="false" ht="15.75" hidden="true" customHeight="false" outlineLevel="0" collapsed="false">
      <c r="X285" s="10"/>
      <c r="Y285" s="10"/>
      <c r="Z285" s="10"/>
    </row>
    <row r="286" customFormat="false" ht="15.75" hidden="true" customHeight="false" outlineLevel="0" collapsed="false">
      <c r="X286" s="10"/>
      <c r="Y286" s="10"/>
      <c r="Z286" s="10"/>
    </row>
    <row r="287" customFormat="false" ht="15.75" hidden="true" customHeight="false" outlineLevel="0" collapsed="false">
      <c r="X287" s="10"/>
      <c r="Y287" s="10"/>
      <c r="Z287" s="10"/>
    </row>
    <row r="288" customFormat="false" ht="15.75" hidden="true" customHeight="false" outlineLevel="0" collapsed="false">
      <c r="X288" s="10"/>
      <c r="Y288" s="10"/>
      <c r="Z288" s="10"/>
    </row>
    <row r="289" customFormat="false" ht="15.75" hidden="true" customHeight="false" outlineLevel="0" collapsed="false">
      <c r="X289" s="10"/>
      <c r="Y289" s="10"/>
      <c r="Z289" s="10"/>
    </row>
    <row r="290" customFormat="false" ht="15.75" hidden="true" customHeight="false" outlineLevel="0" collapsed="false">
      <c r="X290" s="10"/>
      <c r="Y290" s="10"/>
      <c r="Z290" s="10"/>
    </row>
    <row r="291" customFormat="false" ht="15.75" hidden="true" customHeight="false" outlineLevel="0" collapsed="false">
      <c r="X291" s="10"/>
      <c r="Y291" s="10"/>
      <c r="Z291" s="10"/>
    </row>
    <row r="292" customFormat="false" ht="15.75" hidden="true" customHeight="false" outlineLevel="0" collapsed="false">
      <c r="X292" s="10"/>
      <c r="Y292" s="10"/>
      <c r="Z292" s="10"/>
    </row>
    <row r="293" customFormat="false" ht="15.75" hidden="true" customHeight="false" outlineLevel="0" collapsed="false">
      <c r="X293" s="10"/>
      <c r="Y293" s="10"/>
      <c r="Z293" s="10"/>
    </row>
    <row r="294" customFormat="false" ht="15.75" hidden="true" customHeight="false" outlineLevel="0" collapsed="false">
      <c r="X294" s="10"/>
      <c r="Y294" s="10"/>
      <c r="Z294" s="10"/>
    </row>
    <row r="295" customFormat="false" ht="15.75" hidden="true" customHeight="false" outlineLevel="0" collapsed="false">
      <c r="X295" s="10"/>
      <c r="Y295" s="10"/>
      <c r="Z295" s="10"/>
    </row>
    <row r="296" customFormat="false" ht="15.75" hidden="true" customHeight="false" outlineLevel="0" collapsed="false">
      <c r="X296" s="10"/>
      <c r="Y296" s="10"/>
      <c r="Z296" s="10"/>
    </row>
    <row r="297" customFormat="false" ht="15.75" hidden="true" customHeight="false" outlineLevel="0" collapsed="false">
      <c r="X297" s="10"/>
      <c r="Y297" s="10"/>
      <c r="Z297" s="10"/>
    </row>
    <row r="298" customFormat="false" ht="15.75" hidden="true" customHeight="false" outlineLevel="0" collapsed="false">
      <c r="X298" s="10"/>
      <c r="Y298" s="10"/>
      <c r="Z298" s="10"/>
    </row>
    <row r="299" customFormat="false" ht="15.75" hidden="true" customHeight="false" outlineLevel="0" collapsed="false">
      <c r="X299" s="10"/>
      <c r="Y299" s="10"/>
      <c r="Z299" s="10"/>
    </row>
    <row r="300" customFormat="false" ht="15.75" hidden="true" customHeight="false" outlineLevel="0" collapsed="false">
      <c r="X300" s="10"/>
      <c r="Y300" s="10"/>
      <c r="Z300" s="10"/>
    </row>
    <row r="301" customFormat="false" ht="15.75" hidden="true" customHeight="false" outlineLevel="0" collapsed="false">
      <c r="X301" s="10"/>
      <c r="Y301" s="10"/>
      <c r="Z301" s="10"/>
    </row>
    <row r="302" customFormat="false" ht="15.75" hidden="true" customHeight="false" outlineLevel="0" collapsed="false">
      <c r="X302" s="10"/>
      <c r="Y302" s="10"/>
      <c r="Z302" s="10"/>
    </row>
    <row r="303" customFormat="false" ht="15.75" hidden="true" customHeight="false" outlineLevel="0" collapsed="false">
      <c r="X303" s="10"/>
      <c r="Y303" s="10"/>
      <c r="Z303" s="10"/>
    </row>
    <row r="304" customFormat="false" ht="15.75" hidden="true" customHeight="false" outlineLevel="0" collapsed="false">
      <c r="X304" s="10"/>
      <c r="Y304" s="10"/>
      <c r="Z304" s="10"/>
    </row>
    <row r="305" customFormat="false" ht="15.75" hidden="true" customHeight="false" outlineLevel="0" collapsed="false">
      <c r="X305" s="10"/>
      <c r="Y305" s="10"/>
      <c r="Z305" s="10"/>
    </row>
    <row r="306" customFormat="false" ht="15.75" hidden="true" customHeight="false" outlineLevel="0" collapsed="false">
      <c r="X306" s="10"/>
      <c r="Y306" s="10"/>
      <c r="Z306" s="10"/>
    </row>
    <row r="307" customFormat="false" ht="15.75" hidden="true" customHeight="false" outlineLevel="0" collapsed="false">
      <c r="X307" s="10"/>
      <c r="Y307" s="10"/>
      <c r="Z307" s="10"/>
    </row>
    <row r="308" customFormat="false" ht="15.75" hidden="true" customHeight="false" outlineLevel="0" collapsed="false">
      <c r="X308" s="10"/>
      <c r="Y308" s="10"/>
      <c r="Z308" s="10"/>
    </row>
    <row r="309" customFormat="false" ht="15.75" hidden="true" customHeight="false" outlineLevel="0" collapsed="false">
      <c r="X309" s="10"/>
      <c r="Y309" s="10"/>
      <c r="Z309" s="10"/>
    </row>
    <row r="310" customFormat="false" ht="15.75" hidden="true" customHeight="false" outlineLevel="0" collapsed="false">
      <c r="X310" s="10"/>
      <c r="Y310" s="10"/>
      <c r="Z310" s="10"/>
    </row>
    <row r="311" customFormat="false" ht="15.75" hidden="true" customHeight="false" outlineLevel="0" collapsed="false">
      <c r="X311" s="10"/>
      <c r="Y311" s="10"/>
      <c r="Z311" s="10"/>
    </row>
    <row r="312" customFormat="false" ht="15.75" hidden="true" customHeight="false" outlineLevel="0" collapsed="false">
      <c r="X312" s="10"/>
      <c r="Y312" s="10"/>
      <c r="Z312" s="10"/>
    </row>
    <row r="313" customFormat="false" ht="15.75" hidden="true" customHeight="false" outlineLevel="0" collapsed="false">
      <c r="X313" s="10"/>
      <c r="Y313" s="10"/>
      <c r="Z313" s="10"/>
    </row>
    <row r="314" customFormat="false" ht="15.75" hidden="true" customHeight="false" outlineLevel="0" collapsed="false">
      <c r="X314" s="10"/>
      <c r="Y314" s="10"/>
      <c r="Z314" s="10"/>
    </row>
    <row r="315" customFormat="false" ht="15.75" hidden="true" customHeight="false" outlineLevel="0" collapsed="false">
      <c r="X315" s="10"/>
      <c r="Y315" s="10"/>
      <c r="Z315" s="10"/>
    </row>
    <row r="316" customFormat="false" ht="15.75" hidden="true" customHeight="false" outlineLevel="0" collapsed="false">
      <c r="X316" s="10"/>
      <c r="Y316" s="10"/>
      <c r="Z316" s="10"/>
    </row>
    <row r="317" customFormat="false" ht="15.75" hidden="true" customHeight="false" outlineLevel="0" collapsed="false">
      <c r="X317" s="10"/>
      <c r="Y317" s="10"/>
      <c r="Z317" s="10"/>
    </row>
    <row r="318" customFormat="false" ht="15.75" hidden="true" customHeight="false" outlineLevel="0" collapsed="false">
      <c r="X318" s="10"/>
      <c r="Y318" s="10"/>
      <c r="Z318" s="10"/>
    </row>
    <row r="319" customFormat="false" ht="15.75" hidden="true" customHeight="false" outlineLevel="0" collapsed="false">
      <c r="X319" s="10"/>
      <c r="Y319" s="10"/>
      <c r="Z319" s="10"/>
    </row>
    <row r="320" customFormat="false" ht="15.75" hidden="true" customHeight="false" outlineLevel="0" collapsed="false">
      <c r="X320" s="10"/>
      <c r="Y320" s="10"/>
      <c r="Z320" s="10"/>
    </row>
    <row r="321" customFormat="false" ht="15.75" hidden="true" customHeight="false" outlineLevel="0" collapsed="false">
      <c r="X321" s="10"/>
      <c r="Y321" s="10"/>
      <c r="Z321" s="10"/>
    </row>
    <row r="322" customFormat="false" ht="15.75" hidden="true" customHeight="false" outlineLevel="0" collapsed="false">
      <c r="X322" s="10"/>
      <c r="Y322" s="10"/>
      <c r="Z322" s="10"/>
    </row>
    <row r="323" customFormat="false" ht="15.75" hidden="true" customHeight="false" outlineLevel="0" collapsed="false">
      <c r="X323" s="10"/>
      <c r="Y323" s="10"/>
      <c r="Z323" s="10"/>
    </row>
    <row r="324" customFormat="false" ht="15.75" hidden="true" customHeight="false" outlineLevel="0" collapsed="false">
      <c r="X324" s="10"/>
      <c r="Y324" s="10"/>
      <c r="Z324" s="10"/>
    </row>
    <row r="325" customFormat="false" ht="15.75" hidden="true" customHeight="false" outlineLevel="0" collapsed="false">
      <c r="X325" s="10"/>
      <c r="Y325" s="10"/>
      <c r="Z325" s="10"/>
    </row>
    <row r="326" customFormat="false" ht="15.75" hidden="true" customHeight="false" outlineLevel="0" collapsed="false">
      <c r="X326" s="10"/>
      <c r="Y326" s="10"/>
      <c r="Z326" s="10"/>
    </row>
    <row r="327" customFormat="false" ht="15.75" hidden="true" customHeight="false" outlineLevel="0" collapsed="false">
      <c r="X327" s="10"/>
      <c r="Y327" s="10"/>
      <c r="Z327" s="10"/>
    </row>
    <row r="328" customFormat="false" ht="15.75" hidden="true" customHeight="false" outlineLevel="0" collapsed="false">
      <c r="X328" s="10"/>
      <c r="Y328" s="10"/>
      <c r="Z328" s="10"/>
    </row>
    <row r="329" customFormat="false" ht="15.75" hidden="true" customHeight="false" outlineLevel="0" collapsed="false">
      <c r="X329" s="10"/>
      <c r="Y329" s="10"/>
      <c r="Z329" s="10"/>
    </row>
    <row r="330" customFormat="false" ht="15.75" hidden="true" customHeight="false" outlineLevel="0" collapsed="false">
      <c r="X330" s="10"/>
      <c r="Y330" s="10"/>
      <c r="Z330" s="10"/>
    </row>
    <row r="331" customFormat="false" ht="15.75" hidden="true" customHeight="false" outlineLevel="0" collapsed="false">
      <c r="X331" s="10"/>
      <c r="Y331" s="10"/>
      <c r="Z331" s="10"/>
    </row>
    <row r="332" customFormat="false" ht="15.75" hidden="true" customHeight="false" outlineLevel="0" collapsed="false">
      <c r="X332" s="10"/>
      <c r="Y332" s="10"/>
      <c r="Z332" s="10"/>
    </row>
    <row r="333" customFormat="false" ht="15.75" hidden="true" customHeight="false" outlineLevel="0" collapsed="false">
      <c r="X333" s="10"/>
      <c r="Y333" s="10"/>
      <c r="Z333" s="10"/>
    </row>
    <row r="334" customFormat="false" ht="15.75" hidden="true" customHeight="false" outlineLevel="0" collapsed="false">
      <c r="X334" s="10"/>
      <c r="Y334" s="10"/>
      <c r="Z334" s="10"/>
    </row>
    <row r="335" customFormat="false" ht="15.75" hidden="true" customHeight="false" outlineLevel="0" collapsed="false">
      <c r="X335" s="10"/>
      <c r="Y335" s="10"/>
      <c r="Z335" s="10"/>
    </row>
    <row r="336" customFormat="false" ht="15.75" hidden="true" customHeight="false" outlineLevel="0" collapsed="false">
      <c r="X336" s="10"/>
      <c r="Y336" s="10"/>
      <c r="Z336" s="10"/>
    </row>
    <row r="337" customFormat="false" ht="15.75" hidden="true" customHeight="false" outlineLevel="0" collapsed="false">
      <c r="X337" s="10"/>
      <c r="Y337" s="10"/>
      <c r="Z337" s="10"/>
    </row>
    <row r="338" customFormat="false" ht="15.75" hidden="true" customHeight="false" outlineLevel="0" collapsed="false">
      <c r="X338" s="10"/>
      <c r="Y338" s="10"/>
      <c r="Z338" s="10"/>
    </row>
    <row r="339" customFormat="false" ht="15.75" hidden="true" customHeight="false" outlineLevel="0" collapsed="false">
      <c r="X339" s="10"/>
      <c r="Y339" s="10"/>
      <c r="Z339" s="10"/>
    </row>
    <row r="340" customFormat="false" ht="15.75" hidden="true" customHeight="false" outlineLevel="0" collapsed="false">
      <c r="X340" s="10"/>
      <c r="Y340" s="10"/>
      <c r="Z340" s="10"/>
    </row>
    <row r="341" customFormat="false" ht="15.75" hidden="true" customHeight="false" outlineLevel="0" collapsed="false">
      <c r="X341" s="10"/>
      <c r="Y341" s="10"/>
      <c r="Z341" s="10"/>
    </row>
    <row r="342" customFormat="false" ht="15.75" hidden="true" customHeight="false" outlineLevel="0" collapsed="false">
      <c r="X342" s="10"/>
      <c r="Y342" s="10"/>
      <c r="Z342" s="10"/>
    </row>
    <row r="343" customFormat="false" ht="15.75" hidden="true" customHeight="false" outlineLevel="0" collapsed="false">
      <c r="X343" s="10"/>
      <c r="Y343" s="10"/>
      <c r="Z343" s="10"/>
    </row>
    <row r="344" customFormat="false" ht="15.75" hidden="true" customHeight="false" outlineLevel="0" collapsed="false">
      <c r="X344" s="10"/>
      <c r="Y344" s="10"/>
      <c r="Z344" s="10"/>
    </row>
    <row r="345" customFormat="false" ht="15.75" hidden="true" customHeight="false" outlineLevel="0" collapsed="false">
      <c r="X345" s="10"/>
      <c r="Y345" s="10"/>
      <c r="Z345" s="10"/>
    </row>
    <row r="346" customFormat="false" ht="15.75" hidden="true" customHeight="false" outlineLevel="0" collapsed="false">
      <c r="X346" s="10"/>
      <c r="Y346" s="10"/>
      <c r="Z346" s="10"/>
    </row>
    <row r="347" customFormat="false" ht="15.75" hidden="true" customHeight="false" outlineLevel="0" collapsed="false">
      <c r="X347" s="10"/>
      <c r="Y347" s="10"/>
      <c r="Z347" s="10"/>
    </row>
    <row r="348" customFormat="false" ht="15.75" hidden="true" customHeight="false" outlineLevel="0" collapsed="false">
      <c r="X348" s="10"/>
      <c r="Y348" s="10"/>
      <c r="Z348" s="10"/>
    </row>
    <row r="349" customFormat="false" ht="15.75" hidden="true" customHeight="false" outlineLevel="0" collapsed="false">
      <c r="X349" s="10"/>
      <c r="Y349" s="10"/>
      <c r="Z349" s="10"/>
    </row>
    <row r="350" customFormat="false" ht="15.75" hidden="true" customHeight="false" outlineLevel="0" collapsed="false">
      <c r="X350" s="10"/>
      <c r="Y350" s="10"/>
      <c r="Z350" s="10"/>
    </row>
    <row r="351" customFormat="false" ht="15.75" hidden="true" customHeight="false" outlineLevel="0" collapsed="false">
      <c r="X351" s="10"/>
      <c r="Y351" s="10"/>
      <c r="Z351" s="10"/>
    </row>
    <row r="352" customFormat="false" ht="15.75" hidden="true" customHeight="false" outlineLevel="0" collapsed="false">
      <c r="X352" s="10"/>
      <c r="Y352" s="10"/>
      <c r="Z352" s="10"/>
    </row>
    <row r="353" customFormat="false" ht="15.75" hidden="true" customHeight="false" outlineLevel="0" collapsed="false">
      <c r="X353" s="10"/>
      <c r="Y353" s="10"/>
      <c r="Z353" s="10"/>
    </row>
    <row r="354" customFormat="false" ht="15.75" hidden="true" customHeight="false" outlineLevel="0" collapsed="false">
      <c r="X354" s="10"/>
      <c r="Y354" s="10"/>
      <c r="Z354" s="10"/>
    </row>
    <row r="355" customFormat="false" ht="15.75" hidden="true" customHeight="false" outlineLevel="0" collapsed="false">
      <c r="X355" s="10"/>
      <c r="Y355" s="10"/>
      <c r="Z355" s="10"/>
    </row>
    <row r="356" customFormat="false" ht="15.75" hidden="true" customHeight="false" outlineLevel="0" collapsed="false">
      <c r="X356" s="10"/>
      <c r="Y356" s="10"/>
      <c r="Z356" s="10"/>
    </row>
    <row r="357" customFormat="false" ht="15.75" hidden="true" customHeight="false" outlineLevel="0" collapsed="false">
      <c r="X357" s="10"/>
      <c r="Y357" s="10"/>
      <c r="Z357" s="10"/>
    </row>
    <row r="358" customFormat="false" ht="15.75" hidden="true" customHeight="false" outlineLevel="0" collapsed="false">
      <c r="X358" s="10"/>
      <c r="Y358" s="10"/>
      <c r="Z358" s="10"/>
    </row>
    <row r="359" customFormat="false" ht="15.75" hidden="true" customHeight="false" outlineLevel="0" collapsed="false">
      <c r="X359" s="10"/>
      <c r="Y359" s="10"/>
      <c r="Z359" s="10"/>
    </row>
    <row r="360" customFormat="false" ht="15.75" hidden="true" customHeight="false" outlineLevel="0" collapsed="false">
      <c r="X360" s="10"/>
      <c r="Y360" s="10"/>
      <c r="Z360" s="10"/>
    </row>
    <row r="361" customFormat="false" ht="15.75" hidden="true" customHeight="false" outlineLevel="0" collapsed="false">
      <c r="X361" s="10"/>
      <c r="Y361" s="10"/>
      <c r="Z361" s="10"/>
    </row>
    <row r="362" customFormat="false" ht="15.75" hidden="true" customHeight="false" outlineLevel="0" collapsed="false">
      <c r="X362" s="10"/>
      <c r="Y362" s="10"/>
      <c r="Z362" s="10"/>
    </row>
    <row r="363" customFormat="false" ht="15.75" hidden="true" customHeight="false" outlineLevel="0" collapsed="false">
      <c r="X363" s="10"/>
      <c r="Y363" s="10"/>
      <c r="Z363" s="10"/>
    </row>
    <row r="364" customFormat="false" ht="15.75" hidden="true" customHeight="false" outlineLevel="0" collapsed="false">
      <c r="X364" s="10"/>
      <c r="Y364" s="10"/>
      <c r="Z364" s="10"/>
    </row>
    <row r="365" customFormat="false" ht="15.75" hidden="true" customHeight="false" outlineLevel="0" collapsed="false">
      <c r="X365" s="10"/>
      <c r="Y365" s="10"/>
      <c r="Z365" s="10"/>
    </row>
    <row r="366" customFormat="false" ht="15.75" hidden="true" customHeight="false" outlineLevel="0" collapsed="false">
      <c r="X366" s="10"/>
      <c r="Y366" s="10"/>
      <c r="Z366" s="10"/>
    </row>
    <row r="367" customFormat="false" ht="15.75" hidden="true" customHeight="false" outlineLevel="0" collapsed="false">
      <c r="X367" s="10"/>
      <c r="Y367" s="10"/>
      <c r="Z367" s="10"/>
    </row>
    <row r="368" customFormat="false" ht="15.75" hidden="true" customHeight="false" outlineLevel="0" collapsed="false">
      <c r="X368" s="10"/>
      <c r="Y368" s="10"/>
      <c r="Z368" s="10"/>
    </row>
    <row r="369" customFormat="false" ht="15.75" hidden="true" customHeight="false" outlineLevel="0" collapsed="false">
      <c r="X369" s="10"/>
      <c r="Y369" s="10"/>
      <c r="Z369" s="10"/>
    </row>
    <row r="370" customFormat="false" ht="15.75" hidden="true" customHeight="false" outlineLevel="0" collapsed="false">
      <c r="X370" s="10"/>
      <c r="Y370" s="10"/>
      <c r="Z370" s="10"/>
    </row>
    <row r="371" customFormat="false" ht="15.75" hidden="true" customHeight="false" outlineLevel="0" collapsed="false">
      <c r="X371" s="10"/>
      <c r="Y371" s="10"/>
      <c r="Z371" s="10"/>
    </row>
    <row r="372" customFormat="false" ht="15.75" hidden="true" customHeight="false" outlineLevel="0" collapsed="false">
      <c r="X372" s="10"/>
      <c r="Y372" s="10"/>
      <c r="Z372" s="10"/>
    </row>
    <row r="373" customFormat="false" ht="15.75" hidden="true" customHeight="false" outlineLevel="0" collapsed="false">
      <c r="X373" s="10"/>
      <c r="Y373" s="10"/>
      <c r="Z373" s="10"/>
    </row>
    <row r="374" customFormat="false" ht="15.75" hidden="true" customHeight="false" outlineLevel="0" collapsed="false">
      <c r="X374" s="10"/>
      <c r="Y374" s="10"/>
      <c r="Z374" s="10"/>
    </row>
    <row r="375" customFormat="false" ht="15.75" hidden="true" customHeight="false" outlineLevel="0" collapsed="false">
      <c r="X375" s="10"/>
      <c r="Y375" s="10"/>
      <c r="Z375" s="10"/>
    </row>
    <row r="376" customFormat="false" ht="15.75" hidden="true" customHeight="false" outlineLevel="0" collapsed="false">
      <c r="X376" s="10"/>
      <c r="Y376" s="10"/>
      <c r="Z376" s="10"/>
    </row>
    <row r="377" customFormat="false" ht="15.75" hidden="true" customHeight="false" outlineLevel="0" collapsed="false">
      <c r="X377" s="10"/>
      <c r="Y377" s="10"/>
      <c r="Z377" s="10"/>
    </row>
    <row r="378" customFormat="false" ht="15.75" hidden="true" customHeight="false" outlineLevel="0" collapsed="false">
      <c r="X378" s="10"/>
      <c r="Y378" s="10"/>
      <c r="Z378" s="10"/>
    </row>
    <row r="379" customFormat="false" ht="15.75" hidden="true" customHeight="false" outlineLevel="0" collapsed="false">
      <c r="X379" s="10"/>
      <c r="Y379" s="10"/>
      <c r="Z379" s="10"/>
    </row>
    <row r="380" customFormat="false" ht="15.75" hidden="true" customHeight="false" outlineLevel="0" collapsed="false">
      <c r="X380" s="10"/>
      <c r="Y380" s="10"/>
      <c r="Z380" s="10"/>
    </row>
    <row r="381" customFormat="false" ht="15.75" hidden="true" customHeight="false" outlineLevel="0" collapsed="false">
      <c r="X381" s="10"/>
      <c r="Y381" s="10"/>
      <c r="Z381" s="10"/>
    </row>
    <row r="382" customFormat="false" ht="15.75" hidden="true" customHeight="false" outlineLevel="0" collapsed="false">
      <c r="X382" s="10"/>
      <c r="Y382" s="10"/>
      <c r="Z382" s="10"/>
    </row>
    <row r="383" customFormat="false" ht="15.75" hidden="true" customHeight="false" outlineLevel="0" collapsed="false">
      <c r="X383" s="10"/>
      <c r="Y383" s="10"/>
      <c r="Z383" s="10"/>
    </row>
    <row r="384" customFormat="false" ht="15.75" hidden="true" customHeight="false" outlineLevel="0" collapsed="false">
      <c r="X384" s="10"/>
      <c r="Y384" s="10"/>
      <c r="Z384" s="10"/>
    </row>
    <row r="385" customFormat="false" ht="15.75" hidden="true" customHeight="false" outlineLevel="0" collapsed="false">
      <c r="X385" s="10"/>
      <c r="Y385" s="10"/>
      <c r="Z385" s="10"/>
    </row>
    <row r="386" customFormat="false" ht="15.75" hidden="true" customHeight="false" outlineLevel="0" collapsed="false">
      <c r="X386" s="10"/>
      <c r="Y386" s="10"/>
      <c r="Z386" s="10"/>
    </row>
    <row r="387" customFormat="false" ht="15.75" hidden="true" customHeight="false" outlineLevel="0" collapsed="false">
      <c r="X387" s="10"/>
      <c r="Y387" s="10"/>
      <c r="Z387" s="10"/>
    </row>
    <row r="388" customFormat="false" ht="15.75" hidden="true" customHeight="false" outlineLevel="0" collapsed="false">
      <c r="X388" s="10"/>
      <c r="Y388" s="10"/>
      <c r="Z388" s="10"/>
    </row>
    <row r="389" customFormat="false" ht="15.75" hidden="true" customHeight="false" outlineLevel="0" collapsed="false">
      <c r="X389" s="10"/>
      <c r="Y389" s="10"/>
      <c r="Z389" s="10"/>
    </row>
    <row r="390" customFormat="false" ht="15.75" hidden="true" customHeight="false" outlineLevel="0" collapsed="false">
      <c r="X390" s="10"/>
      <c r="Y390" s="10"/>
      <c r="Z390" s="10"/>
    </row>
    <row r="391" customFormat="false" ht="15.75" hidden="true" customHeight="false" outlineLevel="0" collapsed="false">
      <c r="X391" s="10"/>
      <c r="Y391" s="10"/>
      <c r="Z391" s="10"/>
    </row>
    <row r="392" customFormat="false" ht="15.75" hidden="true" customHeight="false" outlineLevel="0" collapsed="false">
      <c r="X392" s="10"/>
      <c r="Y392" s="10"/>
      <c r="Z392" s="10"/>
    </row>
    <row r="393" customFormat="false" ht="15.75" hidden="true" customHeight="false" outlineLevel="0" collapsed="false">
      <c r="X393" s="10"/>
      <c r="Y393" s="10"/>
      <c r="Z393" s="10"/>
    </row>
    <row r="394" customFormat="false" ht="15.75" hidden="true" customHeight="false" outlineLevel="0" collapsed="false">
      <c r="X394" s="10"/>
      <c r="Y394" s="10"/>
      <c r="Z394" s="10"/>
    </row>
    <row r="395" customFormat="false" ht="15.75" hidden="true" customHeight="false" outlineLevel="0" collapsed="false">
      <c r="X395" s="10"/>
      <c r="Y395" s="10"/>
      <c r="Z395" s="10"/>
    </row>
    <row r="396" customFormat="false" ht="15.75" hidden="true" customHeight="false" outlineLevel="0" collapsed="false">
      <c r="X396" s="10"/>
      <c r="Y396" s="10"/>
      <c r="Z396" s="10"/>
    </row>
    <row r="397" customFormat="false" ht="15.75" hidden="true" customHeight="false" outlineLevel="0" collapsed="false">
      <c r="X397" s="10"/>
      <c r="Y397" s="10"/>
      <c r="Z397" s="10"/>
    </row>
    <row r="398" customFormat="false" ht="15.75" hidden="true" customHeight="false" outlineLevel="0" collapsed="false">
      <c r="X398" s="10"/>
      <c r="Y398" s="10"/>
      <c r="Z398" s="10"/>
    </row>
    <row r="399" customFormat="false" ht="15.75" hidden="true" customHeight="false" outlineLevel="0" collapsed="false">
      <c r="X399" s="10"/>
      <c r="Y399" s="10"/>
      <c r="Z399" s="10"/>
    </row>
    <row r="400" customFormat="false" ht="15.75" hidden="true" customHeight="false" outlineLevel="0" collapsed="false">
      <c r="X400" s="10"/>
      <c r="Y400" s="10"/>
      <c r="Z400" s="10"/>
    </row>
    <row r="401" customFormat="false" ht="15.75" hidden="true" customHeight="false" outlineLevel="0" collapsed="false">
      <c r="X401" s="10"/>
      <c r="Y401" s="10"/>
      <c r="Z401" s="10"/>
    </row>
    <row r="402" customFormat="false" ht="15.75" hidden="true" customHeight="false" outlineLevel="0" collapsed="false">
      <c r="X402" s="10"/>
      <c r="Y402" s="10"/>
      <c r="Z402" s="10"/>
    </row>
    <row r="403" customFormat="false" ht="15.75" hidden="true" customHeight="false" outlineLevel="0" collapsed="false">
      <c r="X403" s="10"/>
      <c r="Y403" s="10"/>
      <c r="Z403" s="10"/>
    </row>
    <row r="404" customFormat="false" ht="15.75" hidden="true" customHeight="false" outlineLevel="0" collapsed="false">
      <c r="X404" s="10"/>
      <c r="Y404" s="10"/>
      <c r="Z404" s="10"/>
    </row>
    <row r="405" customFormat="false" ht="15.75" hidden="true" customHeight="false" outlineLevel="0" collapsed="false">
      <c r="X405" s="10"/>
      <c r="Y405" s="10"/>
      <c r="Z405" s="10"/>
    </row>
    <row r="406" customFormat="false" ht="15.75" hidden="true" customHeight="false" outlineLevel="0" collapsed="false">
      <c r="X406" s="10"/>
      <c r="Y406" s="10"/>
      <c r="Z406" s="10"/>
    </row>
    <row r="407" customFormat="false" ht="15.75" hidden="true" customHeight="false" outlineLevel="0" collapsed="false">
      <c r="X407" s="10"/>
      <c r="Y407" s="10"/>
      <c r="Z407" s="10"/>
    </row>
    <row r="408" customFormat="false" ht="15.75" hidden="true" customHeight="false" outlineLevel="0" collapsed="false">
      <c r="X408" s="10"/>
      <c r="Y408" s="10"/>
      <c r="Z408" s="10"/>
    </row>
    <row r="409" customFormat="false" ht="15.75" hidden="true" customHeight="false" outlineLevel="0" collapsed="false">
      <c r="X409" s="10"/>
      <c r="Y409" s="10"/>
      <c r="Z409" s="10"/>
    </row>
    <row r="410" customFormat="false" ht="15.75" hidden="true" customHeight="false" outlineLevel="0" collapsed="false">
      <c r="X410" s="10"/>
      <c r="Y410" s="10"/>
      <c r="Z410" s="10"/>
    </row>
    <row r="411" customFormat="false" ht="15.75" hidden="true" customHeight="false" outlineLevel="0" collapsed="false">
      <c r="X411" s="10"/>
      <c r="Y411" s="10"/>
      <c r="Z411" s="10"/>
    </row>
    <row r="412" customFormat="false" ht="15.75" hidden="true" customHeight="false" outlineLevel="0" collapsed="false">
      <c r="X412" s="10"/>
      <c r="Y412" s="10"/>
      <c r="Z412" s="10"/>
    </row>
    <row r="413" customFormat="false" ht="15.75" hidden="true" customHeight="false" outlineLevel="0" collapsed="false">
      <c r="X413" s="10"/>
      <c r="Y413" s="10"/>
      <c r="Z413" s="10"/>
    </row>
    <row r="414" customFormat="false" ht="15.75" hidden="true" customHeight="false" outlineLevel="0" collapsed="false">
      <c r="X414" s="10"/>
      <c r="Y414" s="10"/>
      <c r="Z414" s="10"/>
    </row>
    <row r="415" customFormat="false" ht="15.75" hidden="true" customHeight="false" outlineLevel="0" collapsed="false">
      <c r="X415" s="10"/>
      <c r="Y415" s="10"/>
      <c r="Z415" s="10"/>
    </row>
    <row r="416" customFormat="false" ht="15.75" hidden="true" customHeight="false" outlineLevel="0" collapsed="false">
      <c r="X416" s="10"/>
      <c r="Y416" s="10"/>
      <c r="Z416" s="10"/>
    </row>
    <row r="417" customFormat="false" ht="15.75" hidden="true" customHeight="false" outlineLevel="0" collapsed="false">
      <c r="X417" s="10"/>
      <c r="Y417" s="10"/>
      <c r="Z417" s="10"/>
    </row>
    <row r="418" customFormat="false" ht="15.75" hidden="true" customHeight="false" outlineLevel="0" collapsed="false">
      <c r="X418" s="10"/>
      <c r="Y418" s="10"/>
      <c r="Z418" s="10"/>
    </row>
    <row r="419" customFormat="false" ht="15.75" hidden="true" customHeight="false" outlineLevel="0" collapsed="false">
      <c r="X419" s="10"/>
      <c r="Y419" s="10"/>
      <c r="Z419" s="10"/>
    </row>
    <row r="420" customFormat="false" ht="15.75" hidden="true" customHeight="false" outlineLevel="0" collapsed="false">
      <c r="X420" s="10"/>
      <c r="Y420" s="10"/>
      <c r="Z420" s="10"/>
    </row>
    <row r="421" customFormat="false" ht="15.75" hidden="true" customHeight="false" outlineLevel="0" collapsed="false">
      <c r="X421" s="10"/>
      <c r="Y421" s="10"/>
      <c r="Z421" s="10"/>
    </row>
    <row r="422" customFormat="false" ht="15.75" hidden="true" customHeight="false" outlineLevel="0" collapsed="false">
      <c r="X422" s="10"/>
      <c r="Y422" s="10"/>
      <c r="Z422" s="10"/>
    </row>
    <row r="423" customFormat="false" ht="15.75" hidden="true" customHeight="false" outlineLevel="0" collapsed="false">
      <c r="X423" s="10"/>
      <c r="Y423" s="10"/>
      <c r="Z423" s="10"/>
    </row>
    <row r="424" customFormat="false" ht="15.75" hidden="true" customHeight="false" outlineLevel="0" collapsed="false">
      <c r="X424" s="10"/>
      <c r="Y424" s="10"/>
      <c r="Z424" s="10"/>
    </row>
    <row r="425" customFormat="false" ht="15.75" hidden="true" customHeight="false" outlineLevel="0" collapsed="false">
      <c r="X425" s="10"/>
      <c r="Y425" s="10"/>
      <c r="Z425" s="10"/>
    </row>
    <row r="426" customFormat="false" ht="15.75" hidden="true" customHeight="false" outlineLevel="0" collapsed="false">
      <c r="X426" s="10"/>
      <c r="Y426" s="10"/>
      <c r="Z426" s="10"/>
    </row>
    <row r="427" customFormat="false" ht="15.75" hidden="true" customHeight="false" outlineLevel="0" collapsed="false">
      <c r="X427" s="10"/>
      <c r="Y427" s="10"/>
      <c r="Z427" s="10"/>
    </row>
    <row r="428" customFormat="false" ht="15.75" hidden="true" customHeight="false" outlineLevel="0" collapsed="false">
      <c r="X428" s="10"/>
      <c r="Y428" s="10"/>
      <c r="Z428" s="10"/>
    </row>
    <row r="429" customFormat="false" ht="15.75" hidden="true" customHeight="false" outlineLevel="0" collapsed="false">
      <c r="X429" s="10"/>
      <c r="Y429" s="10"/>
      <c r="Z429" s="10"/>
    </row>
    <row r="430" customFormat="false" ht="15.75" hidden="true" customHeight="false" outlineLevel="0" collapsed="false">
      <c r="X430" s="10"/>
      <c r="Y430" s="10"/>
      <c r="Z430" s="10"/>
    </row>
    <row r="431" customFormat="false" ht="15.75" hidden="true" customHeight="false" outlineLevel="0" collapsed="false">
      <c r="X431" s="10"/>
      <c r="Y431" s="10"/>
      <c r="Z431" s="10"/>
    </row>
    <row r="432" customFormat="false" ht="15.75" hidden="true" customHeight="false" outlineLevel="0" collapsed="false">
      <c r="X432" s="10"/>
      <c r="Y432" s="10"/>
      <c r="Z432" s="10"/>
    </row>
    <row r="433" customFormat="false" ht="15.75" hidden="true" customHeight="false" outlineLevel="0" collapsed="false">
      <c r="X433" s="10"/>
      <c r="Y433" s="10"/>
      <c r="Z433" s="10"/>
    </row>
    <row r="434" customFormat="false" ht="15.75" hidden="true" customHeight="false" outlineLevel="0" collapsed="false">
      <c r="X434" s="10"/>
      <c r="Y434" s="10"/>
      <c r="Z434" s="10"/>
    </row>
    <row r="435" customFormat="false" ht="15.75" hidden="true" customHeight="false" outlineLevel="0" collapsed="false">
      <c r="X435" s="10"/>
      <c r="Y435" s="10"/>
      <c r="Z435" s="10"/>
    </row>
    <row r="436" customFormat="false" ht="15.75" hidden="true" customHeight="false" outlineLevel="0" collapsed="false">
      <c r="X436" s="10"/>
      <c r="Y436" s="10"/>
      <c r="Z436" s="10"/>
    </row>
    <row r="437" customFormat="false" ht="15.75" hidden="true" customHeight="false" outlineLevel="0" collapsed="false">
      <c r="X437" s="10"/>
      <c r="Y437" s="10"/>
      <c r="Z437" s="10"/>
    </row>
    <row r="438" customFormat="false" ht="15.75" hidden="true" customHeight="false" outlineLevel="0" collapsed="false">
      <c r="X438" s="10"/>
      <c r="Y438" s="10"/>
      <c r="Z438" s="10"/>
    </row>
    <row r="439" customFormat="false" ht="15.75" hidden="true" customHeight="false" outlineLevel="0" collapsed="false">
      <c r="X439" s="10"/>
      <c r="Y439" s="10"/>
      <c r="Z439" s="10"/>
    </row>
    <row r="440" customFormat="false" ht="15.75" hidden="true" customHeight="false" outlineLevel="0" collapsed="false">
      <c r="X440" s="10"/>
      <c r="Y440" s="10"/>
      <c r="Z440" s="10"/>
    </row>
    <row r="441" customFormat="false" ht="15.75" hidden="true" customHeight="false" outlineLevel="0" collapsed="false">
      <c r="X441" s="10"/>
      <c r="Y441" s="10"/>
      <c r="Z441" s="10"/>
    </row>
    <row r="442" customFormat="false" ht="15.75" hidden="true" customHeight="false" outlineLevel="0" collapsed="false">
      <c r="X442" s="10"/>
      <c r="Y442" s="10"/>
      <c r="Z442" s="10"/>
    </row>
    <row r="443" customFormat="false" ht="15.75" hidden="true" customHeight="false" outlineLevel="0" collapsed="false">
      <c r="X443" s="10"/>
      <c r="Y443" s="10"/>
      <c r="Z443" s="10"/>
    </row>
    <row r="444" customFormat="false" ht="15.75" hidden="true" customHeight="false" outlineLevel="0" collapsed="false">
      <c r="X444" s="10"/>
      <c r="Y444" s="10"/>
      <c r="Z444" s="10"/>
    </row>
    <row r="445" customFormat="false" ht="15.75" hidden="true" customHeight="false" outlineLevel="0" collapsed="false">
      <c r="X445" s="10"/>
      <c r="Y445" s="10"/>
      <c r="Z445" s="10"/>
    </row>
    <row r="446" customFormat="false" ht="15.75" hidden="true" customHeight="false" outlineLevel="0" collapsed="false">
      <c r="X446" s="10"/>
      <c r="Y446" s="10"/>
      <c r="Z446" s="10"/>
    </row>
    <row r="447" customFormat="false" ht="15.75" hidden="true" customHeight="false" outlineLevel="0" collapsed="false">
      <c r="X447" s="10"/>
      <c r="Y447" s="10"/>
      <c r="Z447" s="10"/>
    </row>
    <row r="448" customFormat="false" ht="15.75" hidden="true" customHeight="false" outlineLevel="0" collapsed="false">
      <c r="X448" s="10"/>
      <c r="Y448" s="10"/>
      <c r="Z448" s="10"/>
    </row>
    <row r="449" customFormat="false" ht="15.75" hidden="true" customHeight="false" outlineLevel="0" collapsed="false">
      <c r="X449" s="10"/>
      <c r="Y449" s="10"/>
      <c r="Z449" s="10"/>
    </row>
    <row r="450" customFormat="false" ht="15.75" hidden="true" customHeight="false" outlineLevel="0" collapsed="false">
      <c r="X450" s="10"/>
      <c r="Y450" s="10"/>
      <c r="Z450" s="10"/>
    </row>
    <row r="451" customFormat="false" ht="15.75" hidden="true" customHeight="false" outlineLevel="0" collapsed="false">
      <c r="X451" s="10"/>
      <c r="Y451" s="10"/>
      <c r="Z451" s="10"/>
    </row>
    <row r="452" customFormat="false" ht="15.75" hidden="true" customHeight="false" outlineLevel="0" collapsed="false">
      <c r="X452" s="10"/>
      <c r="Y452" s="10"/>
      <c r="Z452" s="10"/>
    </row>
    <row r="453" customFormat="false" ht="15.75" hidden="true" customHeight="false" outlineLevel="0" collapsed="false">
      <c r="X453" s="10"/>
      <c r="Y453" s="10"/>
      <c r="Z453" s="10"/>
    </row>
    <row r="454" customFormat="false" ht="15.75" hidden="true" customHeight="false" outlineLevel="0" collapsed="false">
      <c r="X454" s="10"/>
      <c r="Y454" s="10"/>
      <c r="Z454" s="10"/>
    </row>
    <row r="455" customFormat="false" ht="15.75" hidden="true" customHeight="false" outlineLevel="0" collapsed="false">
      <c r="X455" s="10"/>
      <c r="Y455" s="10"/>
      <c r="Z455" s="10"/>
    </row>
    <row r="456" customFormat="false" ht="15.75" hidden="true" customHeight="false" outlineLevel="0" collapsed="false">
      <c r="X456" s="10"/>
      <c r="Y456" s="10"/>
      <c r="Z456" s="10"/>
    </row>
    <row r="457" customFormat="false" ht="15.75" hidden="true" customHeight="false" outlineLevel="0" collapsed="false">
      <c r="X457" s="10"/>
      <c r="Y457" s="10"/>
      <c r="Z457" s="10"/>
    </row>
    <row r="458" customFormat="false" ht="15.75" hidden="true" customHeight="false" outlineLevel="0" collapsed="false">
      <c r="X458" s="10"/>
      <c r="Y458" s="10"/>
      <c r="Z458" s="10"/>
    </row>
    <row r="459" customFormat="false" ht="15.75" hidden="true" customHeight="false" outlineLevel="0" collapsed="false">
      <c r="X459" s="10"/>
      <c r="Y459" s="10"/>
      <c r="Z459" s="10"/>
    </row>
    <row r="460" customFormat="false" ht="15.75" hidden="true" customHeight="false" outlineLevel="0" collapsed="false">
      <c r="X460" s="10"/>
      <c r="Y460" s="10"/>
      <c r="Z460" s="10"/>
    </row>
    <row r="461" customFormat="false" ht="15.75" hidden="true" customHeight="false" outlineLevel="0" collapsed="false">
      <c r="X461" s="10"/>
      <c r="Y461" s="10"/>
      <c r="Z461" s="10"/>
    </row>
    <row r="462" customFormat="false" ht="15.75" hidden="true" customHeight="false" outlineLevel="0" collapsed="false">
      <c r="X462" s="10"/>
      <c r="Y462" s="10"/>
      <c r="Z462" s="10"/>
    </row>
    <row r="463" customFormat="false" ht="15.75" hidden="true" customHeight="false" outlineLevel="0" collapsed="false">
      <c r="X463" s="10"/>
      <c r="Y463" s="10"/>
      <c r="Z463" s="10"/>
    </row>
    <row r="464" customFormat="false" ht="15.75" hidden="true" customHeight="false" outlineLevel="0" collapsed="false">
      <c r="X464" s="10"/>
      <c r="Y464" s="10"/>
      <c r="Z464" s="10"/>
    </row>
    <row r="465" customFormat="false" ht="15.75" hidden="true" customHeight="false" outlineLevel="0" collapsed="false">
      <c r="X465" s="10"/>
      <c r="Y465" s="10"/>
      <c r="Z465" s="10"/>
    </row>
    <row r="466" customFormat="false" ht="15.75" hidden="true" customHeight="false" outlineLevel="0" collapsed="false">
      <c r="X466" s="10"/>
      <c r="Y466" s="10"/>
      <c r="Z466" s="10"/>
    </row>
    <row r="467" customFormat="false" ht="15.75" hidden="true" customHeight="false" outlineLevel="0" collapsed="false">
      <c r="X467" s="10"/>
      <c r="Y467" s="10"/>
      <c r="Z467" s="10"/>
    </row>
    <row r="468" customFormat="false" ht="15.75" hidden="true" customHeight="false" outlineLevel="0" collapsed="false">
      <c r="X468" s="10"/>
      <c r="Y468" s="10"/>
      <c r="Z468" s="10"/>
    </row>
    <row r="469" customFormat="false" ht="15.75" hidden="true" customHeight="false" outlineLevel="0" collapsed="false">
      <c r="X469" s="10"/>
      <c r="Y469" s="10"/>
      <c r="Z469" s="10"/>
    </row>
    <row r="470" customFormat="false" ht="15.75" hidden="true" customHeight="false" outlineLevel="0" collapsed="false">
      <c r="X470" s="10"/>
      <c r="Y470" s="10"/>
      <c r="Z470" s="10"/>
    </row>
    <row r="471" customFormat="false" ht="15.75" hidden="true" customHeight="false" outlineLevel="0" collapsed="false">
      <c r="X471" s="10"/>
      <c r="Y471" s="10"/>
      <c r="Z471" s="10"/>
    </row>
    <row r="472" customFormat="false" ht="15.75" hidden="true" customHeight="false" outlineLevel="0" collapsed="false">
      <c r="X472" s="10"/>
      <c r="Y472" s="10"/>
      <c r="Z472" s="10"/>
    </row>
    <row r="473" customFormat="false" ht="15.75" hidden="true" customHeight="false" outlineLevel="0" collapsed="false">
      <c r="X473" s="10"/>
      <c r="Y473" s="10"/>
      <c r="Z473" s="10"/>
    </row>
    <row r="474" customFormat="false" ht="15.75" hidden="true" customHeight="false" outlineLevel="0" collapsed="false">
      <c r="X474" s="10"/>
      <c r="Y474" s="10"/>
      <c r="Z474" s="10"/>
    </row>
    <row r="475" customFormat="false" ht="15.75" hidden="true" customHeight="false" outlineLevel="0" collapsed="false">
      <c r="X475" s="10"/>
      <c r="Y475" s="10"/>
      <c r="Z475" s="10"/>
    </row>
    <row r="476" customFormat="false" ht="15.75" hidden="true" customHeight="false" outlineLevel="0" collapsed="false">
      <c r="X476" s="10"/>
      <c r="Y476" s="10"/>
      <c r="Z476" s="10"/>
    </row>
    <row r="477" customFormat="false" ht="15.75" hidden="true" customHeight="false" outlineLevel="0" collapsed="false">
      <c r="X477" s="10"/>
      <c r="Y477" s="10"/>
      <c r="Z477" s="10"/>
    </row>
    <row r="478" customFormat="false" ht="15.75" hidden="true" customHeight="false" outlineLevel="0" collapsed="false">
      <c r="X478" s="10"/>
      <c r="Y478" s="10"/>
      <c r="Z478" s="10"/>
    </row>
    <row r="479" customFormat="false" ht="15.75" hidden="true" customHeight="false" outlineLevel="0" collapsed="false">
      <c r="X479" s="10"/>
      <c r="Y479" s="10"/>
      <c r="Z479" s="10"/>
    </row>
    <row r="480" customFormat="false" ht="15.75" hidden="true" customHeight="false" outlineLevel="0" collapsed="false">
      <c r="X480" s="10"/>
      <c r="Y480" s="10"/>
      <c r="Z480" s="10"/>
    </row>
    <row r="481" customFormat="false" ht="15.75" hidden="true" customHeight="false" outlineLevel="0" collapsed="false">
      <c r="X481" s="10"/>
      <c r="Y481" s="10"/>
      <c r="Z481" s="10"/>
    </row>
    <row r="482" customFormat="false" ht="15.75" hidden="true" customHeight="false" outlineLevel="0" collapsed="false">
      <c r="X482" s="10"/>
      <c r="Y482" s="10"/>
      <c r="Z482" s="10"/>
    </row>
    <row r="483" customFormat="false" ht="15.75" hidden="true" customHeight="false" outlineLevel="0" collapsed="false">
      <c r="X483" s="10"/>
      <c r="Y483" s="10"/>
      <c r="Z483" s="10"/>
    </row>
    <row r="484" customFormat="false" ht="15.75" hidden="true" customHeight="false" outlineLevel="0" collapsed="false">
      <c r="X484" s="10"/>
      <c r="Y484" s="10"/>
      <c r="Z484" s="10"/>
    </row>
    <row r="485" customFormat="false" ht="15.75" hidden="true" customHeight="false" outlineLevel="0" collapsed="false">
      <c r="X485" s="10"/>
      <c r="Y485" s="10"/>
      <c r="Z485" s="10"/>
    </row>
    <row r="486" customFormat="false" ht="15.75" hidden="true" customHeight="false" outlineLevel="0" collapsed="false">
      <c r="X486" s="10"/>
      <c r="Y486" s="10"/>
      <c r="Z486" s="10"/>
    </row>
    <row r="487" customFormat="false" ht="15.75" hidden="true" customHeight="false" outlineLevel="0" collapsed="false">
      <c r="X487" s="10"/>
      <c r="Y487" s="10"/>
      <c r="Z487" s="10"/>
    </row>
    <row r="488" customFormat="false" ht="15.75" hidden="true" customHeight="false" outlineLevel="0" collapsed="false">
      <c r="X488" s="10"/>
      <c r="Y488" s="10"/>
      <c r="Z488" s="10"/>
    </row>
    <row r="489" customFormat="false" ht="15.75" hidden="true" customHeight="false" outlineLevel="0" collapsed="false">
      <c r="X489" s="10"/>
      <c r="Y489" s="10"/>
      <c r="Z489" s="10"/>
    </row>
    <row r="490" customFormat="false" ht="15.75" hidden="true" customHeight="false" outlineLevel="0" collapsed="false">
      <c r="X490" s="10"/>
      <c r="Y490" s="10"/>
      <c r="Z490" s="10"/>
    </row>
    <row r="491" customFormat="false" ht="15.75" hidden="true" customHeight="false" outlineLevel="0" collapsed="false">
      <c r="X491" s="10"/>
      <c r="Y491" s="10"/>
      <c r="Z491" s="10"/>
    </row>
    <row r="492" customFormat="false" ht="15.75" hidden="true" customHeight="false" outlineLevel="0" collapsed="false">
      <c r="X492" s="10"/>
      <c r="Y492" s="10"/>
      <c r="Z492" s="10"/>
    </row>
    <row r="493" customFormat="false" ht="15.75" hidden="true" customHeight="false" outlineLevel="0" collapsed="false">
      <c r="X493" s="10"/>
      <c r="Y493" s="10"/>
      <c r="Z493" s="10"/>
    </row>
    <row r="494" customFormat="false" ht="15.75" hidden="true" customHeight="false" outlineLevel="0" collapsed="false">
      <c r="X494" s="10"/>
      <c r="Y494" s="10"/>
      <c r="Z494" s="10"/>
    </row>
    <row r="495" customFormat="false" ht="15.75" hidden="true" customHeight="false" outlineLevel="0" collapsed="false">
      <c r="X495" s="10"/>
      <c r="Y495" s="10"/>
      <c r="Z495" s="10"/>
    </row>
    <row r="496" customFormat="false" ht="15.75" hidden="true" customHeight="false" outlineLevel="0" collapsed="false">
      <c r="X496" s="10"/>
      <c r="Y496" s="10"/>
      <c r="Z496" s="10"/>
    </row>
    <row r="497" customFormat="false" ht="15.75" hidden="true" customHeight="false" outlineLevel="0" collapsed="false">
      <c r="X497" s="10"/>
      <c r="Y497" s="10"/>
      <c r="Z497" s="10"/>
    </row>
    <row r="498" customFormat="false" ht="15.75" hidden="true" customHeight="false" outlineLevel="0" collapsed="false">
      <c r="X498" s="10"/>
      <c r="Y498" s="10"/>
      <c r="Z498" s="10"/>
    </row>
    <row r="499" customFormat="false" ht="15.75" hidden="true" customHeight="false" outlineLevel="0" collapsed="false">
      <c r="X499" s="10"/>
      <c r="Y499" s="10"/>
      <c r="Z499" s="10"/>
    </row>
    <row r="500" customFormat="false" ht="15.75" hidden="true" customHeight="false" outlineLevel="0" collapsed="false">
      <c r="X500" s="10"/>
      <c r="Y500" s="10"/>
      <c r="Z500" s="10"/>
    </row>
    <row r="501" customFormat="false" ht="15.75" hidden="true" customHeight="false" outlineLevel="0" collapsed="false">
      <c r="X501" s="10"/>
      <c r="Y501" s="10"/>
      <c r="Z501" s="10"/>
    </row>
    <row r="502" customFormat="false" ht="15.75" hidden="true" customHeight="false" outlineLevel="0" collapsed="false">
      <c r="X502" s="10"/>
      <c r="Y502" s="10"/>
      <c r="Z502" s="10"/>
    </row>
    <row r="503" customFormat="false" ht="15.75" hidden="true" customHeight="false" outlineLevel="0" collapsed="false">
      <c r="X503" s="10"/>
      <c r="Y503" s="10"/>
      <c r="Z503" s="10"/>
    </row>
    <row r="504" customFormat="false" ht="15.75" hidden="true" customHeight="false" outlineLevel="0" collapsed="false">
      <c r="X504" s="10"/>
      <c r="Y504" s="10"/>
      <c r="Z504" s="10"/>
    </row>
    <row r="505" customFormat="false" ht="15.75" hidden="true" customHeight="false" outlineLevel="0" collapsed="false">
      <c r="X505" s="10"/>
      <c r="Y505" s="10"/>
      <c r="Z505" s="10"/>
    </row>
    <row r="506" customFormat="false" ht="15.75" hidden="true" customHeight="false" outlineLevel="0" collapsed="false">
      <c r="X506" s="10"/>
      <c r="Y506" s="10"/>
      <c r="Z506" s="10"/>
    </row>
    <row r="507" customFormat="false" ht="15.75" hidden="true" customHeight="false" outlineLevel="0" collapsed="false">
      <c r="X507" s="10"/>
      <c r="Y507" s="10"/>
      <c r="Z507" s="10"/>
    </row>
    <row r="508" customFormat="false" ht="15.75" hidden="true" customHeight="false" outlineLevel="0" collapsed="false">
      <c r="X508" s="10"/>
      <c r="Y508" s="10"/>
      <c r="Z508" s="10"/>
    </row>
    <row r="509" customFormat="false" ht="15.75" hidden="true" customHeight="false" outlineLevel="0" collapsed="false">
      <c r="X509" s="10"/>
      <c r="Y509" s="10"/>
      <c r="Z509" s="10"/>
    </row>
    <row r="510" customFormat="false" ht="15.75" hidden="true" customHeight="false" outlineLevel="0" collapsed="false">
      <c r="X510" s="10"/>
      <c r="Y510" s="10"/>
      <c r="Z510" s="10"/>
    </row>
    <row r="511" customFormat="false" ht="15.75" hidden="true" customHeight="false" outlineLevel="0" collapsed="false">
      <c r="X511" s="10"/>
      <c r="Y511" s="10"/>
      <c r="Z511" s="10"/>
    </row>
    <row r="512" customFormat="false" ht="15.75" hidden="true" customHeight="false" outlineLevel="0" collapsed="false">
      <c r="X512" s="10"/>
      <c r="Y512" s="10"/>
      <c r="Z512" s="10"/>
    </row>
    <row r="513" customFormat="false" ht="15.75" hidden="true" customHeight="false" outlineLevel="0" collapsed="false">
      <c r="X513" s="10"/>
      <c r="Y513" s="10"/>
      <c r="Z513" s="10"/>
    </row>
    <row r="514" customFormat="false" ht="15.75" hidden="true" customHeight="false" outlineLevel="0" collapsed="false">
      <c r="X514" s="10"/>
      <c r="Y514" s="10"/>
      <c r="Z514" s="10"/>
    </row>
    <row r="515" customFormat="false" ht="15.75" hidden="true" customHeight="false" outlineLevel="0" collapsed="false">
      <c r="X515" s="10"/>
      <c r="Y515" s="10"/>
      <c r="Z515" s="10"/>
    </row>
    <row r="516" customFormat="false" ht="15.75" hidden="true" customHeight="false" outlineLevel="0" collapsed="false">
      <c r="X516" s="10"/>
      <c r="Y516" s="10"/>
      <c r="Z516" s="10"/>
    </row>
    <row r="517" customFormat="false" ht="15.75" hidden="true" customHeight="false" outlineLevel="0" collapsed="false">
      <c r="X517" s="10"/>
      <c r="Y517" s="10"/>
      <c r="Z517" s="10"/>
    </row>
    <row r="518" customFormat="false" ht="15.75" hidden="true" customHeight="false" outlineLevel="0" collapsed="false">
      <c r="X518" s="10"/>
      <c r="Y518" s="10"/>
      <c r="Z518" s="10"/>
    </row>
    <row r="519" customFormat="false" ht="15.75" hidden="true" customHeight="false" outlineLevel="0" collapsed="false">
      <c r="X519" s="10"/>
      <c r="Y519" s="10"/>
      <c r="Z519" s="10"/>
    </row>
    <row r="520" customFormat="false" ht="15.75" hidden="true" customHeight="false" outlineLevel="0" collapsed="false">
      <c r="X520" s="10"/>
      <c r="Y520" s="10"/>
      <c r="Z520" s="10"/>
    </row>
    <row r="521" customFormat="false" ht="15.75" hidden="true" customHeight="false" outlineLevel="0" collapsed="false">
      <c r="X521" s="10"/>
      <c r="Y521" s="10"/>
      <c r="Z521" s="10"/>
    </row>
    <row r="522" customFormat="false" ht="15.75" hidden="true" customHeight="false" outlineLevel="0" collapsed="false">
      <c r="X522" s="10"/>
      <c r="Y522" s="10"/>
      <c r="Z522" s="10"/>
    </row>
    <row r="523" customFormat="false" ht="15.75" hidden="true" customHeight="false" outlineLevel="0" collapsed="false">
      <c r="X523" s="10"/>
      <c r="Y523" s="10"/>
      <c r="Z523" s="10"/>
    </row>
    <row r="524" customFormat="false" ht="15.75" hidden="true" customHeight="false" outlineLevel="0" collapsed="false">
      <c r="X524" s="10"/>
      <c r="Y524" s="10"/>
      <c r="Z524" s="10"/>
    </row>
    <row r="525" customFormat="false" ht="15.75" hidden="true" customHeight="false" outlineLevel="0" collapsed="false">
      <c r="X525" s="10"/>
      <c r="Y525" s="10"/>
      <c r="Z525" s="10"/>
    </row>
    <row r="526" customFormat="false" ht="15.75" hidden="true" customHeight="false" outlineLevel="0" collapsed="false">
      <c r="X526" s="10"/>
      <c r="Y526" s="10"/>
      <c r="Z526" s="10"/>
    </row>
    <row r="527" customFormat="false" ht="15.75" hidden="true" customHeight="false" outlineLevel="0" collapsed="false">
      <c r="X527" s="10"/>
      <c r="Y527" s="10"/>
      <c r="Z527" s="10"/>
    </row>
    <row r="528" customFormat="false" ht="15.75" hidden="true" customHeight="false" outlineLevel="0" collapsed="false">
      <c r="X528" s="10"/>
      <c r="Y528" s="10"/>
      <c r="Z528" s="10"/>
    </row>
    <row r="529" customFormat="false" ht="15.75" hidden="true" customHeight="false" outlineLevel="0" collapsed="false">
      <c r="X529" s="10"/>
      <c r="Y529" s="10"/>
      <c r="Z529" s="10"/>
    </row>
    <row r="530" customFormat="false" ht="15.75" hidden="true" customHeight="false" outlineLevel="0" collapsed="false">
      <c r="X530" s="10"/>
      <c r="Y530" s="10"/>
      <c r="Z530" s="10"/>
    </row>
    <row r="531" customFormat="false" ht="15.75" hidden="true" customHeight="false" outlineLevel="0" collapsed="false">
      <c r="X531" s="10"/>
      <c r="Y531" s="10"/>
      <c r="Z531" s="10"/>
    </row>
    <row r="532" customFormat="false" ht="15.75" hidden="true" customHeight="false" outlineLevel="0" collapsed="false">
      <c r="X532" s="10"/>
      <c r="Y532" s="10"/>
      <c r="Z532" s="10"/>
    </row>
    <row r="533" customFormat="false" ht="15.75" hidden="true" customHeight="false" outlineLevel="0" collapsed="false">
      <c r="X533" s="10"/>
      <c r="Y533" s="10"/>
      <c r="Z533" s="10"/>
    </row>
    <row r="534" customFormat="false" ht="15.75" hidden="true" customHeight="false" outlineLevel="0" collapsed="false">
      <c r="X534" s="10"/>
      <c r="Y534" s="10"/>
      <c r="Z534" s="10"/>
    </row>
    <row r="535" customFormat="false" ht="15.75" hidden="true" customHeight="false" outlineLevel="0" collapsed="false">
      <c r="X535" s="10"/>
      <c r="Y535" s="10"/>
      <c r="Z535" s="10"/>
    </row>
    <row r="536" customFormat="false" ht="15.75" hidden="true" customHeight="false" outlineLevel="0" collapsed="false">
      <c r="X536" s="10"/>
      <c r="Y536" s="10"/>
      <c r="Z536" s="10"/>
    </row>
    <row r="537" customFormat="false" ht="15.75" hidden="true" customHeight="false" outlineLevel="0" collapsed="false">
      <c r="X537" s="10"/>
      <c r="Y537" s="10"/>
      <c r="Z537" s="10"/>
    </row>
    <row r="538" customFormat="false" ht="15.75" hidden="true" customHeight="false" outlineLevel="0" collapsed="false">
      <c r="X538" s="10"/>
      <c r="Y538" s="10"/>
      <c r="Z538" s="10"/>
    </row>
    <row r="539" customFormat="false" ht="15.75" hidden="true" customHeight="false" outlineLevel="0" collapsed="false">
      <c r="X539" s="10"/>
      <c r="Y539" s="10"/>
      <c r="Z539" s="10"/>
    </row>
    <row r="540" customFormat="false" ht="15.75" hidden="true" customHeight="false" outlineLevel="0" collapsed="false">
      <c r="X540" s="10"/>
      <c r="Y540" s="10"/>
      <c r="Z540" s="10"/>
    </row>
    <row r="541" customFormat="false" ht="15.75" hidden="true" customHeight="false" outlineLevel="0" collapsed="false">
      <c r="X541" s="10"/>
      <c r="Y541" s="10"/>
      <c r="Z541" s="10"/>
    </row>
    <row r="542" customFormat="false" ht="15.75" hidden="true" customHeight="false" outlineLevel="0" collapsed="false">
      <c r="X542" s="10"/>
      <c r="Y542" s="10"/>
      <c r="Z542" s="10"/>
    </row>
    <row r="543" customFormat="false" ht="15.75" hidden="true" customHeight="false" outlineLevel="0" collapsed="false">
      <c r="X543" s="10"/>
      <c r="Y543" s="10"/>
      <c r="Z543" s="10"/>
    </row>
    <row r="544" customFormat="false" ht="15.75" hidden="true" customHeight="false" outlineLevel="0" collapsed="false">
      <c r="X544" s="10"/>
      <c r="Y544" s="10"/>
      <c r="Z544" s="10"/>
    </row>
    <row r="545" customFormat="false" ht="15.75" hidden="true" customHeight="false" outlineLevel="0" collapsed="false">
      <c r="X545" s="10"/>
      <c r="Y545" s="10"/>
      <c r="Z545" s="10"/>
    </row>
    <row r="546" customFormat="false" ht="15.75" hidden="true" customHeight="false" outlineLevel="0" collapsed="false">
      <c r="X546" s="10"/>
      <c r="Y546" s="10"/>
      <c r="Z546" s="10"/>
    </row>
    <row r="547" customFormat="false" ht="15.75" hidden="true" customHeight="false" outlineLevel="0" collapsed="false">
      <c r="X547" s="10"/>
      <c r="Y547" s="10"/>
      <c r="Z547" s="10"/>
    </row>
    <row r="548" customFormat="false" ht="15.75" hidden="true" customHeight="false" outlineLevel="0" collapsed="false">
      <c r="X548" s="10"/>
      <c r="Y548" s="10"/>
      <c r="Z548" s="10"/>
    </row>
    <row r="549" customFormat="false" ht="15.75" hidden="true" customHeight="false" outlineLevel="0" collapsed="false">
      <c r="X549" s="10"/>
      <c r="Y549" s="10"/>
      <c r="Z549" s="10"/>
    </row>
    <row r="550" customFormat="false" ht="15.75" hidden="true" customHeight="false" outlineLevel="0" collapsed="false">
      <c r="X550" s="10"/>
      <c r="Y550" s="10"/>
      <c r="Z550" s="10"/>
    </row>
    <row r="551" customFormat="false" ht="15.75" hidden="true" customHeight="false" outlineLevel="0" collapsed="false">
      <c r="X551" s="10"/>
      <c r="Y551" s="10"/>
      <c r="Z551" s="10"/>
    </row>
    <row r="552" customFormat="false" ht="15.75" hidden="true" customHeight="false" outlineLevel="0" collapsed="false">
      <c r="X552" s="10"/>
      <c r="Y552" s="10"/>
      <c r="Z552" s="10"/>
    </row>
    <row r="553" customFormat="false" ht="15.75" hidden="true" customHeight="false" outlineLevel="0" collapsed="false">
      <c r="X553" s="10"/>
      <c r="Y553" s="10"/>
      <c r="Z553" s="10"/>
    </row>
    <row r="554" customFormat="false" ht="15.75" hidden="true" customHeight="false" outlineLevel="0" collapsed="false">
      <c r="X554" s="10"/>
      <c r="Y554" s="10"/>
      <c r="Z554" s="10"/>
    </row>
    <row r="555" customFormat="false" ht="15.75" hidden="true" customHeight="false" outlineLevel="0" collapsed="false">
      <c r="X555" s="10"/>
      <c r="Y555" s="10"/>
      <c r="Z555" s="10"/>
    </row>
    <row r="556" customFormat="false" ht="15.75" hidden="true" customHeight="false" outlineLevel="0" collapsed="false">
      <c r="X556" s="10"/>
      <c r="Y556" s="10"/>
      <c r="Z556" s="10"/>
    </row>
    <row r="557" customFormat="false" ht="15.75" hidden="true" customHeight="false" outlineLevel="0" collapsed="false">
      <c r="X557" s="10"/>
      <c r="Y557" s="10"/>
      <c r="Z557" s="10"/>
    </row>
    <row r="558" customFormat="false" ht="15.75" hidden="true" customHeight="false" outlineLevel="0" collapsed="false">
      <c r="X558" s="10"/>
      <c r="Y558" s="10"/>
      <c r="Z558" s="10"/>
    </row>
    <row r="559" customFormat="false" ht="15.75" hidden="true" customHeight="false" outlineLevel="0" collapsed="false">
      <c r="X559" s="10"/>
      <c r="Y559" s="10"/>
      <c r="Z559" s="10"/>
    </row>
    <row r="560" customFormat="false" ht="15.75" hidden="true" customHeight="false" outlineLevel="0" collapsed="false">
      <c r="X560" s="10"/>
      <c r="Y560" s="10"/>
      <c r="Z560" s="10"/>
    </row>
    <row r="561" customFormat="false" ht="15.75" hidden="true" customHeight="false" outlineLevel="0" collapsed="false">
      <c r="X561" s="10"/>
      <c r="Y561" s="10"/>
      <c r="Z561" s="10"/>
    </row>
    <row r="562" customFormat="false" ht="15.75" hidden="true" customHeight="false" outlineLevel="0" collapsed="false">
      <c r="X562" s="10"/>
      <c r="Y562" s="10"/>
      <c r="Z562" s="10"/>
    </row>
    <row r="563" customFormat="false" ht="15.75" hidden="true" customHeight="false" outlineLevel="0" collapsed="false">
      <c r="X563" s="10"/>
      <c r="Y563" s="10"/>
      <c r="Z563" s="10"/>
    </row>
    <row r="564" customFormat="false" ht="15.75" hidden="true" customHeight="false" outlineLevel="0" collapsed="false">
      <c r="X564" s="10"/>
      <c r="Y564" s="10"/>
      <c r="Z564" s="10"/>
    </row>
    <row r="565" customFormat="false" ht="15.75" hidden="true" customHeight="false" outlineLevel="0" collapsed="false">
      <c r="X565" s="10"/>
      <c r="Y565" s="10"/>
      <c r="Z565" s="10"/>
    </row>
    <row r="566" customFormat="false" ht="15.75" hidden="true" customHeight="false" outlineLevel="0" collapsed="false">
      <c r="X566" s="10"/>
      <c r="Y566" s="10"/>
      <c r="Z566" s="10"/>
    </row>
    <row r="567" customFormat="false" ht="15.75" hidden="true" customHeight="false" outlineLevel="0" collapsed="false">
      <c r="X567" s="10"/>
      <c r="Y567" s="10"/>
      <c r="Z567" s="10"/>
    </row>
    <row r="568" customFormat="false" ht="15.75" hidden="true" customHeight="false" outlineLevel="0" collapsed="false">
      <c r="X568" s="10"/>
      <c r="Y568" s="10"/>
      <c r="Z568" s="10"/>
    </row>
    <row r="569" customFormat="false" ht="15.75" hidden="true" customHeight="false" outlineLevel="0" collapsed="false">
      <c r="X569" s="10"/>
      <c r="Y569" s="10"/>
      <c r="Z569" s="10"/>
    </row>
    <row r="570" customFormat="false" ht="15.75" hidden="true" customHeight="false" outlineLevel="0" collapsed="false">
      <c r="X570" s="10"/>
      <c r="Y570" s="10"/>
      <c r="Z570" s="10"/>
    </row>
    <row r="571" customFormat="false" ht="15.75" hidden="true" customHeight="false" outlineLevel="0" collapsed="false">
      <c r="X571" s="10"/>
      <c r="Y571" s="10"/>
      <c r="Z571" s="10"/>
    </row>
    <row r="572" customFormat="false" ht="15.75" hidden="true" customHeight="false" outlineLevel="0" collapsed="false">
      <c r="X572" s="10"/>
      <c r="Y572" s="10"/>
      <c r="Z572" s="10"/>
    </row>
    <row r="573" customFormat="false" ht="15.75" hidden="true" customHeight="false" outlineLevel="0" collapsed="false">
      <c r="X573" s="10"/>
      <c r="Y573" s="10"/>
      <c r="Z573" s="10"/>
    </row>
    <row r="574" customFormat="false" ht="15.75" hidden="true" customHeight="false" outlineLevel="0" collapsed="false">
      <c r="X574" s="10"/>
      <c r="Y574" s="10"/>
      <c r="Z574" s="10"/>
    </row>
    <row r="575" customFormat="false" ht="15.75" hidden="true" customHeight="false" outlineLevel="0" collapsed="false">
      <c r="X575" s="10"/>
      <c r="Y575" s="10"/>
      <c r="Z575" s="10"/>
    </row>
    <row r="576" customFormat="false" ht="15.75" hidden="true" customHeight="false" outlineLevel="0" collapsed="false">
      <c r="X576" s="10"/>
      <c r="Y576" s="10"/>
      <c r="Z576" s="10"/>
    </row>
    <row r="577" customFormat="false" ht="15.75" hidden="true" customHeight="false" outlineLevel="0" collapsed="false">
      <c r="X577" s="10"/>
      <c r="Y577" s="10"/>
      <c r="Z577" s="10"/>
    </row>
    <row r="578" customFormat="false" ht="15.75" hidden="true" customHeight="false" outlineLevel="0" collapsed="false">
      <c r="X578" s="10"/>
      <c r="Y578" s="10"/>
      <c r="Z578" s="10"/>
    </row>
    <row r="579" customFormat="false" ht="15.75" hidden="true" customHeight="false" outlineLevel="0" collapsed="false">
      <c r="X579" s="10"/>
      <c r="Y579" s="10"/>
      <c r="Z579" s="10"/>
    </row>
    <row r="580" customFormat="false" ht="15.75" hidden="true" customHeight="false" outlineLevel="0" collapsed="false">
      <c r="X580" s="10"/>
      <c r="Y580" s="10"/>
      <c r="Z580" s="10"/>
    </row>
    <row r="581" customFormat="false" ht="15.75" hidden="true" customHeight="false" outlineLevel="0" collapsed="false">
      <c r="X581" s="10"/>
      <c r="Y581" s="10"/>
      <c r="Z581" s="10"/>
    </row>
    <row r="582" customFormat="false" ht="15.75" hidden="true" customHeight="false" outlineLevel="0" collapsed="false">
      <c r="X582" s="10"/>
      <c r="Y582" s="10"/>
      <c r="Z582" s="10"/>
    </row>
    <row r="583" customFormat="false" ht="15.75" hidden="true" customHeight="false" outlineLevel="0" collapsed="false">
      <c r="X583" s="10"/>
      <c r="Y583" s="10"/>
      <c r="Z583" s="10"/>
    </row>
    <row r="584" customFormat="false" ht="15.75" hidden="true" customHeight="false" outlineLevel="0" collapsed="false">
      <c r="X584" s="10"/>
      <c r="Y584" s="10"/>
      <c r="Z584" s="10"/>
    </row>
    <row r="585" customFormat="false" ht="15.75" hidden="true" customHeight="false" outlineLevel="0" collapsed="false">
      <c r="X585" s="10"/>
      <c r="Y585" s="10"/>
      <c r="Z585" s="10"/>
    </row>
    <row r="586" customFormat="false" ht="15.75" hidden="true" customHeight="false" outlineLevel="0" collapsed="false">
      <c r="X586" s="10"/>
      <c r="Y586" s="10"/>
      <c r="Z586" s="10"/>
    </row>
    <row r="587" customFormat="false" ht="15.75" hidden="true" customHeight="false" outlineLevel="0" collapsed="false">
      <c r="X587" s="10"/>
      <c r="Y587" s="10"/>
      <c r="Z587" s="10"/>
    </row>
    <row r="588" customFormat="false" ht="15.75" hidden="true" customHeight="false" outlineLevel="0" collapsed="false">
      <c r="X588" s="10"/>
      <c r="Y588" s="10"/>
      <c r="Z588" s="10"/>
    </row>
    <row r="589" customFormat="false" ht="15.75" hidden="true" customHeight="false" outlineLevel="0" collapsed="false">
      <c r="X589" s="10"/>
      <c r="Y589" s="10"/>
      <c r="Z589" s="10"/>
    </row>
    <row r="590" customFormat="false" ht="15.75" hidden="true" customHeight="false" outlineLevel="0" collapsed="false">
      <c r="X590" s="10"/>
      <c r="Y590" s="10"/>
      <c r="Z590" s="10"/>
    </row>
    <row r="591" customFormat="false" ht="15.75" hidden="true" customHeight="false" outlineLevel="0" collapsed="false">
      <c r="X591" s="10"/>
      <c r="Y591" s="10"/>
      <c r="Z591" s="10"/>
    </row>
    <row r="592" customFormat="false" ht="15.75" hidden="true" customHeight="false" outlineLevel="0" collapsed="false">
      <c r="X592" s="10"/>
      <c r="Y592" s="10"/>
      <c r="Z592" s="10"/>
    </row>
    <row r="593" customFormat="false" ht="15.75" hidden="true" customHeight="false" outlineLevel="0" collapsed="false">
      <c r="X593" s="10"/>
      <c r="Y593" s="10"/>
      <c r="Z593" s="10"/>
    </row>
    <row r="594" customFormat="false" ht="15.75" hidden="true" customHeight="false" outlineLevel="0" collapsed="false">
      <c r="X594" s="10"/>
      <c r="Y594" s="10"/>
      <c r="Z594" s="10"/>
    </row>
    <row r="595" customFormat="false" ht="15.75" hidden="true" customHeight="false" outlineLevel="0" collapsed="false">
      <c r="X595" s="10"/>
      <c r="Y595" s="10"/>
      <c r="Z595" s="10"/>
    </row>
    <row r="596" customFormat="false" ht="15.75" hidden="true" customHeight="false" outlineLevel="0" collapsed="false">
      <c r="X596" s="10"/>
      <c r="Y596" s="10"/>
      <c r="Z596" s="10"/>
    </row>
    <row r="597" customFormat="false" ht="15.75" hidden="true" customHeight="false" outlineLevel="0" collapsed="false">
      <c r="X597" s="10"/>
      <c r="Y597" s="10"/>
      <c r="Z597" s="10"/>
    </row>
    <row r="598" customFormat="false" ht="15.75" hidden="true" customHeight="false" outlineLevel="0" collapsed="false">
      <c r="X598" s="10"/>
      <c r="Y598" s="10"/>
      <c r="Z598" s="10"/>
    </row>
    <row r="599" customFormat="false" ht="15.75" hidden="true" customHeight="false" outlineLevel="0" collapsed="false">
      <c r="X599" s="10"/>
      <c r="Y599" s="10"/>
      <c r="Z599" s="10"/>
    </row>
    <row r="600" customFormat="false" ht="15.75" hidden="true" customHeight="false" outlineLevel="0" collapsed="false">
      <c r="X600" s="10"/>
      <c r="Y600" s="10"/>
      <c r="Z600" s="10"/>
    </row>
    <row r="601" customFormat="false" ht="15.75" hidden="true" customHeight="false" outlineLevel="0" collapsed="false">
      <c r="X601" s="10"/>
      <c r="Y601" s="10"/>
      <c r="Z601" s="10"/>
    </row>
    <row r="602" customFormat="false" ht="15.75" hidden="true" customHeight="false" outlineLevel="0" collapsed="false">
      <c r="X602" s="10"/>
      <c r="Y602" s="10"/>
      <c r="Z602" s="10"/>
    </row>
    <row r="603" customFormat="false" ht="15.75" hidden="true" customHeight="false" outlineLevel="0" collapsed="false">
      <c r="X603" s="10"/>
      <c r="Y603" s="10"/>
      <c r="Z603" s="10"/>
    </row>
    <row r="604" customFormat="false" ht="15.75" hidden="true" customHeight="false" outlineLevel="0" collapsed="false">
      <c r="X604" s="10"/>
      <c r="Y604" s="10"/>
      <c r="Z604" s="10"/>
    </row>
    <row r="605" customFormat="false" ht="15.75" hidden="true" customHeight="false" outlineLevel="0" collapsed="false">
      <c r="X605" s="10"/>
      <c r="Y605" s="10"/>
      <c r="Z605" s="10"/>
    </row>
    <row r="606" customFormat="false" ht="15.75" hidden="true" customHeight="false" outlineLevel="0" collapsed="false">
      <c r="X606" s="10"/>
      <c r="Y606" s="10"/>
      <c r="Z606" s="10"/>
    </row>
    <row r="607" customFormat="false" ht="15.75" hidden="true" customHeight="false" outlineLevel="0" collapsed="false">
      <c r="X607" s="10"/>
      <c r="Y607" s="10"/>
      <c r="Z607" s="10"/>
    </row>
    <row r="608" customFormat="false" ht="15.75" hidden="true" customHeight="false" outlineLevel="0" collapsed="false">
      <c r="X608" s="10"/>
      <c r="Y608" s="10"/>
      <c r="Z608" s="10"/>
    </row>
    <row r="609" customFormat="false" ht="15.75" hidden="true" customHeight="false" outlineLevel="0" collapsed="false">
      <c r="X609" s="10"/>
      <c r="Y609" s="10"/>
      <c r="Z609" s="10"/>
    </row>
    <row r="610" customFormat="false" ht="15.75" hidden="true" customHeight="false" outlineLevel="0" collapsed="false">
      <c r="X610" s="10"/>
      <c r="Y610" s="10"/>
      <c r="Z610" s="10"/>
    </row>
    <row r="611" customFormat="false" ht="15.75" hidden="true" customHeight="false" outlineLevel="0" collapsed="false">
      <c r="X611" s="10"/>
      <c r="Y611" s="10"/>
      <c r="Z611" s="10"/>
    </row>
    <row r="612" customFormat="false" ht="15.75" hidden="true" customHeight="false" outlineLevel="0" collapsed="false">
      <c r="X612" s="10"/>
      <c r="Y612" s="10"/>
      <c r="Z612" s="10"/>
    </row>
    <row r="613" customFormat="false" ht="15.75" hidden="true" customHeight="false" outlineLevel="0" collapsed="false">
      <c r="X613" s="10"/>
      <c r="Y613" s="10"/>
      <c r="Z613" s="10"/>
    </row>
    <row r="614" customFormat="false" ht="15.75" hidden="true" customHeight="false" outlineLevel="0" collapsed="false">
      <c r="X614" s="10"/>
      <c r="Y614" s="10"/>
      <c r="Z614" s="10"/>
    </row>
    <row r="615" customFormat="false" ht="15.75" hidden="true" customHeight="false" outlineLevel="0" collapsed="false">
      <c r="X615" s="10"/>
      <c r="Y615" s="10"/>
      <c r="Z615" s="10"/>
    </row>
    <row r="616" customFormat="false" ht="15.75" hidden="true" customHeight="false" outlineLevel="0" collapsed="false">
      <c r="X616" s="10"/>
      <c r="Y616" s="10"/>
      <c r="Z616" s="10"/>
    </row>
    <row r="617" customFormat="false" ht="15.75" hidden="true" customHeight="false" outlineLevel="0" collapsed="false">
      <c r="X617" s="10"/>
      <c r="Y617" s="10"/>
      <c r="Z617" s="10"/>
    </row>
    <row r="618" customFormat="false" ht="15.75" hidden="true" customHeight="false" outlineLevel="0" collapsed="false">
      <c r="X618" s="10"/>
      <c r="Y618" s="10"/>
      <c r="Z618" s="10"/>
    </row>
    <row r="619" customFormat="false" ht="15.75" hidden="true" customHeight="false" outlineLevel="0" collapsed="false">
      <c r="X619" s="10"/>
      <c r="Y619" s="10"/>
      <c r="Z619" s="10"/>
    </row>
    <row r="620" customFormat="false" ht="15.75" hidden="true" customHeight="false" outlineLevel="0" collapsed="false">
      <c r="X620" s="10"/>
      <c r="Y620" s="10"/>
      <c r="Z620" s="10"/>
    </row>
    <row r="621" customFormat="false" ht="15.75" hidden="true" customHeight="false" outlineLevel="0" collapsed="false">
      <c r="X621" s="10"/>
      <c r="Y621" s="10"/>
      <c r="Z621" s="10"/>
    </row>
    <row r="622" customFormat="false" ht="15.75" hidden="true" customHeight="false" outlineLevel="0" collapsed="false">
      <c r="X622" s="10"/>
      <c r="Y622" s="10"/>
      <c r="Z622" s="10"/>
    </row>
    <row r="623" customFormat="false" ht="15.75" hidden="true" customHeight="false" outlineLevel="0" collapsed="false">
      <c r="X623" s="10"/>
      <c r="Y623" s="10"/>
      <c r="Z623" s="10"/>
    </row>
    <row r="624" customFormat="false" ht="15.75" hidden="true" customHeight="false" outlineLevel="0" collapsed="false">
      <c r="X624" s="10"/>
      <c r="Y624" s="10"/>
      <c r="Z624" s="10"/>
    </row>
    <row r="625" customFormat="false" ht="15.75" hidden="true" customHeight="false" outlineLevel="0" collapsed="false">
      <c r="X625" s="10"/>
      <c r="Y625" s="10"/>
      <c r="Z625" s="10"/>
    </row>
    <row r="626" customFormat="false" ht="15.75" hidden="true" customHeight="false" outlineLevel="0" collapsed="false">
      <c r="X626" s="10"/>
      <c r="Y626" s="10"/>
      <c r="Z626" s="10"/>
    </row>
    <row r="627" customFormat="false" ht="15.75" hidden="true" customHeight="false" outlineLevel="0" collapsed="false">
      <c r="X627" s="10"/>
      <c r="Y627" s="10"/>
      <c r="Z627" s="10"/>
    </row>
    <row r="628" customFormat="false" ht="15.75" hidden="true" customHeight="false" outlineLevel="0" collapsed="false">
      <c r="X628" s="10"/>
      <c r="Y628" s="10"/>
      <c r="Z628" s="10"/>
    </row>
    <row r="629" customFormat="false" ht="15.75" hidden="true" customHeight="false" outlineLevel="0" collapsed="false">
      <c r="X629" s="10"/>
      <c r="Y629" s="10"/>
      <c r="Z629" s="10"/>
    </row>
    <row r="630" customFormat="false" ht="15.75" hidden="true" customHeight="false" outlineLevel="0" collapsed="false">
      <c r="X630" s="10"/>
      <c r="Y630" s="10"/>
      <c r="Z630" s="10"/>
    </row>
    <row r="631" customFormat="false" ht="15.75" hidden="true" customHeight="false" outlineLevel="0" collapsed="false">
      <c r="X631" s="10"/>
      <c r="Y631" s="10"/>
      <c r="Z631" s="10"/>
    </row>
    <row r="632" customFormat="false" ht="15.75" hidden="true" customHeight="false" outlineLevel="0" collapsed="false">
      <c r="X632" s="10"/>
      <c r="Y632" s="10"/>
      <c r="Z632" s="10"/>
    </row>
    <row r="633" customFormat="false" ht="15.75" hidden="true" customHeight="false" outlineLevel="0" collapsed="false">
      <c r="X633" s="10"/>
      <c r="Y633" s="10"/>
      <c r="Z633" s="10"/>
    </row>
    <row r="634" customFormat="false" ht="15.75" hidden="true" customHeight="false" outlineLevel="0" collapsed="false">
      <c r="X634" s="10"/>
      <c r="Y634" s="10"/>
      <c r="Z634" s="10"/>
    </row>
    <row r="635" customFormat="false" ht="15.75" hidden="true" customHeight="false" outlineLevel="0" collapsed="false">
      <c r="X635" s="10"/>
      <c r="Y635" s="10"/>
      <c r="Z635" s="10"/>
    </row>
    <row r="636" customFormat="false" ht="15.75" hidden="true" customHeight="false" outlineLevel="0" collapsed="false">
      <c r="X636" s="10"/>
      <c r="Y636" s="10"/>
      <c r="Z636" s="10"/>
    </row>
    <row r="637" customFormat="false" ht="15.75" hidden="true" customHeight="false" outlineLevel="0" collapsed="false">
      <c r="X637" s="10"/>
      <c r="Y637" s="10"/>
      <c r="Z637" s="10"/>
    </row>
    <row r="638" customFormat="false" ht="15.75" hidden="true" customHeight="false" outlineLevel="0" collapsed="false">
      <c r="X638" s="10"/>
      <c r="Y638" s="10"/>
      <c r="Z638" s="10"/>
    </row>
    <row r="639" customFormat="false" ht="15.75" hidden="true" customHeight="false" outlineLevel="0" collapsed="false">
      <c r="X639" s="10"/>
      <c r="Y639" s="10"/>
      <c r="Z639" s="10"/>
    </row>
    <row r="640" customFormat="false" ht="15.75" hidden="true" customHeight="false" outlineLevel="0" collapsed="false">
      <c r="X640" s="10"/>
      <c r="Y640" s="10"/>
      <c r="Z640" s="10"/>
    </row>
    <row r="641" customFormat="false" ht="15.75" hidden="true" customHeight="false" outlineLevel="0" collapsed="false">
      <c r="X641" s="10"/>
      <c r="Y641" s="10"/>
      <c r="Z641" s="10"/>
    </row>
    <row r="642" customFormat="false" ht="15.75" hidden="true" customHeight="false" outlineLevel="0" collapsed="false">
      <c r="X642" s="10"/>
      <c r="Y642" s="10"/>
      <c r="Z642" s="10"/>
    </row>
    <row r="643" customFormat="false" ht="15.75" hidden="true" customHeight="false" outlineLevel="0" collapsed="false">
      <c r="X643" s="10"/>
      <c r="Y643" s="10"/>
      <c r="Z643" s="10"/>
    </row>
    <row r="644" customFormat="false" ht="15.75" hidden="true" customHeight="false" outlineLevel="0" collapsed="false">
      <c r="X644" s="10"/>
      <c r="Y644" s="10"/>
      <c r="Z644" s="10"/>
    </row>
    <row r="645" customFormat="false" ht="15.75" hidden="true" customHeight="false" outlineLevel="0" collapsed="false">
      <c r="X645" s="10"/>
      <c r="Y645" s="10"/>
      <c r="Z645" s="10"/>
    </row>
    <row r="646" customFormat="false" ht="15.75" hidden="true" customHeight="false" outlineLevel="0" collapsed="false">
      <c r="X646" s="10"/>
      <c r="Y646" s="10"/>
      <c r="Z646" s="10"/>
    </row>
    <row r="647" customFormat="false" ht="15.75" hidden="true" customHeight="false" outlineLevel="0" collapsed="false">
      <c r="X647" s="10"/>
      <c r="Y647" s="10"/>
      <c r="Z647" s="10"/>
    </row>
    <row r="648" customFormat="false" ht="15.75" hidden="true" customHeight="false" outlineLevel="0" collapsed="false">
      <c r="X648" s="10"/>
      <c r="Y648" s="10"/>
      <c r="Z648" s="10"/>
    </row>
    <row r="649" customFormat="false" ht="15.75" hidden="true" customHeight="false" outlineLevel="0" collapsed="false">
      <c r="X649" s="10"/>
      <c r="Y649" s="10"/>
      <c r="Z649" s="10"/>
    </row>
    <row r="650" customFormat="false" ht="15.75" hidden="true" customHeight="false" outlineLevel="0" collapsed="false">
      <c r="X650" s="10"/>
      <c r="Y650" s="10"/>
      <c r="Z650" s="10"/>
    </row>
    <row r="651" customFormat="false" ht="15.75" hidden="true" customHeight="false" outlineLevel="0" collapsed="false">
      <c r="X651" s="10"/>
      <c r="Y651" s="10"/>
      <c r="Z651" s="10"/>
    </row>
    <row r="652" customFormat="false" ht="15.75" hidden="true" customHeight="false" outlineLevel="0" collapsed="false">
      <c r="X652" s="10"/>
      <c r="Y652" s="10"/>
      <c r="Z652" s="10"/>
    </row>
    <row r="653" customFormat="false" ht="15.75" hidden="true" customHeight="false" outlineLevel="0" collapsed="false">
      <c r="X653" s="10"/>
      <c r="Y653" s="10"/>
      <c r="Z653" s="10"/>
    </row>
    <row r="654" customFormat="false" ht="15.75" hidden="true" customHeight="false" outlineLevel="0" collapsed="false">
      <c r="X654" s="10"/>
      <c r="Y654" s="10"/>
      <c r="Z654" s="10"/>
    </row>
    <row r="655" customFormat="false" ht="15.75" hidden="true" customHeight="false" outlineLevel="0" collapsed="false">
      <c r="X655" s="10"/>
      <c r="Y655" s="10"/>
      <c r="Z655" s="10"/>
    </row>
    <row r="656" customFormat="false" ht="15.75" hidden="true" customHeight="false" outlineLevel="0" collapsed="false">
      <c r="X656" s="10"/>
      <c r="Y656" s="10"/>
      <c r="Z656" s="10"/>
    </row>
    <row r="657" customFormat="false" ht="15.75" hidden="true" customHeight="false" outlineLevel="0" collapsed="false">
      <c r="X657" s="10"/>
      <c r="Y657" s="10"/>
      <c r="Z657" s="10"/>
    </row>
    <row r="658" customFormat="false" ht="15.75" hidden="true" customHeight="false" outlineLevel="0" collapsed="false">
      <c r="X658" s="10"/>
      <c r="Y658" s="10"/>
      <c r="Z658" s="10"/>
    </row>
    <row r="659" customFormat="false" ht="15.75" hidden="true" customHeight="false" outlineLevel="0" collapsed="false">
      <c r="X659" s="10"/>
      <c r="Y659" s="10"/>
      <c r="Z659" s="10"/>
    </row>
    <row r="660" customFormat="false" ht="15.75" hidden="true" customHeight="false" outlineLevel="0" collapsed="false">
      <c r="X660" s="10"/>
      <c r="Y660" s="10"/>
      <c r="Z660" s="10"/>
    </row>
    <row r="661" customFormat="false" ht="15.75" hidden="true" customHeight="false" outlineLevel="0" collapsed="false">
      <c r="X661" s="10"/>
      <c r="Y661" s="10"/>
      <c r="Z661" s="10"/>
    </row>
    <row r="662" customFormat="false" ht="15.75" hidden="true" customHeight="false" outlineLevel="0" collapsed="false">
      <c r="X662" s="10"/>
      <c r="Y662" s="10"/>
      <c r="Z662" s="10"/>
    </row>
    <row r="663" customFormat="false" ht="15.75" hidden="true" customHeight="false" outlineLevel="0" collapsed="false">
      <c r="X663" s="10"/>
      <c r="Y663" s="10"/>
      <c r="Z663" s="10"/>
    </row>
    <row r="664" customFormat="false" ht="15.75" hidden="true" customHeight="false" outlineLevel="0" collapsed="false">
      <c r="X664" s="10"/>
      <c r="Y664" s="10"/>
      <c r="Z664" s="10"/>
    </row>
    <row r="665" customFormat="false" ht="15.75" hidden="true" customHeight="false" outlineLevel="0" collapsed="false">
      <c r="X665" s="10"/>
      <c r="Y665" s="10"/>
      <c r="Z665" s="10"/>
    </row>
    <row r="666" customFormat="false" ht="15.75" hidden="true" customHeight="false" outlineLevel="0" collapsed="false">
      <c r="X666" s="10"/>
      <c r="Y666" s="10"/>
      <c r="Z666" s="10"/>
    </row>
    <row r="667" customFormat="false" ht="15.75" hidden="true" customHeight="false" outlineLevel="0" collapsed="false">
      <c r="X667" s="10"/>
      <c r="Y667" s="10"/>
      <c r="Z667" s="10"/>
    </row>
    <row r="668" customFormat="false" ht="15.75" hidden="true" customHeight="false" outlineLevel="0" collapsed="false">
      <c r="X668" s="10"/>
      <c r="Y668" s="10"/>
      <c r="Z668" s="10"/>
    </row>
    <row r="669" customFormat="false" ht="15.75" hidden="true" customHeight="false" outlineLevel="0" collapsed="false">
      <c r="X669" s="10"/>
      <c r="Y669" s="10"/>
      <c r="Z669" s="10"/>
    </row>
    <row r="670" customFormat="false" ht="15.75" hidden="true" customHeight="false" outlineLevel="0" collapsed="false">
      <c r="X670" s="10"/>
      <c r="Y670" s="10"/>
      <c r="Z670" s="10"/>
    </row>
    <row r="671" customFormat="false" ht="15.75" hidden="true" customHeight="false" outlineLevel="0" collapsed="false">
      <c r="X671" s="10"/>
      <c r="Y671" s="10"/>
      <c r="Z671" s="10"/>
    </row>
    <row r="672" customFormat="false" ht="15.75" hidden="true" customHeight="false" outlineLevel="0" collapsed="false">
      <c r="X672" s="10"/>
      <c r="Y672" s="10"/>
      <c r="Z672" s="10"/>
    </row>
    <row r="673" customFormat="false" ht="15.75" hidden="true" customHeight="false" outlineLevel="0" collapsed="false">
      <c r="X673" s="10"/>
      <c r="Y673" s="10"/>
      <c r="Z673" s="10"/>
    </row>
    <row r="674" customFormat="false" ht="15.75" hidden="true" customHeight="false" outlineLevel="0" collapsed="false">
      <c r="X674" s="10"/>
      <c r="Y674" s="10"/>
      <c r="Z674" s="10"/>
    </row>
    <row r="675" customFormat="false" ht="15.75" hidden="true" customHeight="false" outlineLevel="0" collapsed="false">
      <c r="X675" s="10"/>
      <c r="Y675" s="10"/>
      <c r="Z675" s="10"/>
    </row>
    <row r="676" customFormat="false" ht="15.75" hidden="true" customHeight="false" outlineLevel="0" collapsed="false">
      <c r="X676" s="10"/>
      <c r="Y676" s="10"/>
      <c r="Z676" s="10"/>
    </row>
    <row r="677" customFormat="false" ht="15.75" hidden="true" customHeight="false" outlineLevel="0" collapsed="false">
      <c r="X677" s="10"/>
      <c r="Y677" s="10"/>
      <c r="Z677" s="10"/>
    </row>
    <row r="678" customFormat="false" ht="15.75" hidden="true" customHeight="false" outlineLevel="0" collapsed="false">
      <c r="X678" s="10"/>
      <c r="Y678" s="10"/>
      <c r="Z678" s="10"/>
    </row>
    <row r="679" customFormat="false" ht="15.75" hidden="true" customHeight="false" outlineLevel="0" collapsed="false">
      <c r="X679" s="10"/>
      <c r="Y679" s="10"/>
      <c r="Z679" s="10"/>
    </row>
    <row r="680" customFormat="false" ht="15.75" hidden="true" customHeight="false" outlineLevel="0" collapsed="false">
      <c r="X680" s="10"/>
      <c r="Y680" s="10"/>
      <c r="Z680" s="10"/>
    </row>
    <row r="681" customFormat="false" ht="15.75" hidden="true" customHeight="false" outlineLevel="0" collapsed="false">
      <c r="X681" s="10"/>
      <c r="Y681" s="10"/>
      <c r="Z681" s="10"/>
    </row>
    <row r="682" customFormat="false" ht="15.75" hidden="true" customHeight="false" outlineLevel="0" collapsed="false">
      <c r="X682" s="10"/>
      <c r="Y682" s="10"/>
      <c r="Z682" s="10"/>
    </row>
    <row r="683" customFormat="false" ht="15.75" hidden="true" customHeight="false" outlineLevel="0" collapsed="false">
      <c r="X683" s="10"/>
      <c r="Y683" s="10"/>
      <c r="Z683" s="10"/>
    </row>
    <row r="684" customFormat="false" ht="15.75" hidden="true" customHeight="false" outlineLevel="0" collapsed="false">
      <c r="X684" s="10"/>
      <c r="Y684" s="10"/>
      <c r="Z684" s="10"/>
    </row>
    <row r="685" customFormat="false" ht="15.75" hidden="true" customHeight="false" outlineLevel="0" collapsed="false">
      <c r="X685" s="10"/>
      <c r="Y685" s="10"/>
      <c r="Z685" s="10"/>
    </row>
    <row r="686" customFormat="false" ht="15.75" hidden="true" customHeight="false" outlineLevel="0" collapsed="false">
      <c r="X686" s="10"/>
      <c r="Y686" s="10"/>
      <c r="Z686" s="10"/>
    </row>
    <row r="687" customFormat="false" ht="15.75" hidden="true" customHeight="false" outlineLevel="0" collapsed="false">
      <c r="X687" s="10"/>
      <c r="Y687" s="10"/>
      <c r="Z687" s="10"/>
    </row>
    <row r="688" customFormat="false" ht="15.75" hidden="true" customHeight="false" outlineLevel="0" collapsed="false">
      <c r="X688" s="10"/>
      <c r="Y688" s="10"/>
      <c r="Z688" s="10"/>
    </row>
    <row r="689" customFormat="false" ht="15.75" hidden="true" customHeight="false" outlineLevel="0" collapsed="false">
      <c r="X689" s="10"/>
      <c r="Y689" s="10"/>
      <c r="Z689" s="10"/>
    </row>
    <row r="690" customFormat="false" ht="15.75" hidden="true" customHeight="false" outlineLevel="0" collapsed="false">
      <c r="X690" s="10"/>
      <c r="Y690" s="10"/>
      <c r="Z690" s="10"/>
    </row>
    <row r="691" customFormat="false" ht="15.75" hidden="true" customHeight="false" outlineLevel="0" collapsed="false">
      <c r="X691" s="10"/>
      <c r="Y691" s="10"/>
      <c r="Z691" s="10"/>
    </row>
    <row r="692" customFormat="false" ht="15.75" hidden="true" customHeight="false" outlineLevel="0" collapsed="false">
      <c r="X692" s="10"/>
      <c r="Y692" s="10"/>
      <c r="Z692" s="10"/>
    </row>
    <row r="693" customFormat="false" ht="15.75" hidden="true" customHeight="false" outlineLevel="0" collapsed="false">
      <c r="X693" s="10"/>
      <c r="Y693" s="10"/>
      <c r="Z693" s="10"/>
    </row>
    <row r="694" customFormat="false" ht="15.75" hidden="true" customHeight="false" outlineLevel="0" collapsed="false">
      <c r="X694" s="10"/>
      <c r="Y694" s="10"/>
      <c r="Z694" s="10"/>
    </row>
    <row r="695" customFormat="false" ht="15.75" hidden="true" customHeight="false" outlineLevel="0" collapsed="false">
      <c r="X695" s="10"/>
      <c r="Y695" s="10"/>
      <c r="Z695" s="10"/>
    </row>
    <row r="696" customFormat="false" ht="15.75" hidden="true" customHeight="false" outlineLevel="0" collapsed="false">
      <c r="X696" s="10"/>
      <c r="Y696" s="10"/>
      <c r="Z696" s="10"/>
    </row>
    <row r="697" customFormat="false" ht="15.75" hidden="true" customHeight="false" outlineLevel="0" collapsed="false">
      <c r="X697" s="10"/>
      <c r="Y697" s="10"/>
      <c r="Z697" s="10"/>
    </row>
    <row r="698" customFormat="false" ht="15.75" hidden="true" customHeight="false" outlineLevel="0" collapsed="false">
      <c r="X698" s="10"/>
      <c r="Y698" s="10"/>
      <c r="Z698" s="10"/>
    </row>
    <row r="699" customFormat="false" ht="15.75" hidden="true" customHeight="false" outlineLevel="0" collapsed="false">
      <c r="X699" s="10"/>
      <c r="Y699" s="10"/>
      <c r="Z699" s="10"/>
    </row>
    <row r="700" customFormat="false" ht="15.75" hidden="true" customHeight="false" outlineLevel="0" collapsed="false">
      <c r="X700" s="10"/>
      <c r="Y700" s="10"/>
      <c r="Z700" s="10"/>
    </row>
    <row r="701" customFormat="false" ht="15.75" hidden="true" customHeight="false" outlineLevel="0" collapsed="false">
      <c r="X701" s="10"/>
      <c r="Y701" s="10"/>
      <c r="Z701" s="10"/>
    </row>
    <row r="702" customFormat="false" ht="15.75" hidden="true" customHeight="false" outlineLevel="0" collapsed="false">
      <c r="X702" s="10"/>
      <c r="Y702" s="10"/>
      <c r="Z702" s="10"/>
    </row>
    <row r="703" customFormat="false" ht="15.75" hidden="true" customHeight="false" outlineLevel="0" collapsed="false">
      <c r="X703" s="10"/>
      <c r="Y703" s="10"/>
      <c r="Z703" s="10"/>
    </row>
    <row r="704" customFormat="false" ht="15.75" hidden="true" customHeight="false" outlineLevel="0" collapsed="false">
      <c r="X704" s="10"/>
      <c r="Y704" s="10"/>
      <c r="Z704" s="10"/>
    </row>
    <row r="705" customFormat="false" ht="15.75" hidden="true" customHeight="false" outlineLevel="0" collapsed="false">
      <c r="X705" s="10"/>
      <c r="Y705" s="10"/>
      <c r="Z705" s="10"/>
    </row>
    <row r="706" customFormat="false" ht="15.75" hidden="true" customHeight="false" outlineLevel="0" collapsed="false">
      <c r="X706" s="10"/>
      <c r="Y706" s="10"/>
      <c r="Z706" s="10"/>
    </row>
    <row r="707" customFormat="false" ht="15.75" hidden="true" customHeight="false" outlineLevel="0" collapsed="false">
      <c r="X707" s="10"/>
      <c r="Y707" s="10"/>
      <c r="Z707" s="10"/>
    </row>
    <row r="708" customFormat="false" ht="15.75" hidden="true" customHeight="false" outlineLevel="0" collapsed="false">
      <c r="X708" s="10"/>
      <c r="Y708" s="10"/>
      <c r="Z708" s="10"/>
    </row>
    <row r="709" customFormat="false" ht="15.75" hidden="true" customHeight="false" outlineLevel="0" collapsed="false">
      <c r="X709" s="10"/>
      <c r="Y709" s="10"/>
      <c r="Z709" s="10"/>
    </row>
    <row r="710" customFormat="false" ht="15.75" hidden="true" customHeight="false" outlineLevel="0" collapsed="false">
      <c r="X710" s="10"/>
      <c r="Y710" s="10"/>
      <c r="Z710" s="10"/>
    </row>
    <row r="711" customFormat="false" ht="15.75" hidden="true" customHeight="false" outlineLevel="0" collapsed="false">
      <c r="X711" s="10"/>
      <c r="Y711" s="10"/>
      <c r="Z711" s="10"/>
    </row>
    <row r="712" customFormat="false" ht="15.75" hidden="true" customHeight="false" outlineLevel="0" collapsed="false">
      <c r="X712" s="10"/>
      <c r="Y712" s="10"/>
      <c r="Z712" s="10"/>
    </row>
    <row r="713" customFormat="false" ht="15.75" hidden="true" customHeight="false" outlineLevel="0" collapsed="false">
      <c r="X713" s="10"/>
      <c r="Y713" s="10"/>
      <c r="Z713" s="10"/>
    </row>
    <row r="714" customFormat="false" ht="15.75" hidden="true" customHeight="false" outlineLevel="0" collapsed="false">
      <c r="X714" s="10"/>
      <c r="Y714" s="10"/>
      <c r="Z714" s="10"/>
    </row>
    <row r="715" customFormat="false" ht="15.75" hidden="true" customHeight="false" outlineLevel="0" collapsed="false">
      <c r="X715" s="10"/>
      <c r="Y715" s="10"/>
      <c r="Z715" s="10"/>
    </row>
    <row r="716" customFormat="false" ht="15.75" hidden="true" customHeight="false" outlineLevel="0" collapsed="false">
      <c r="X716" s="10"/>
      <c r="Y716" s="10"/>
      <c r="Z716" s="10"/>
    </row>
    <row r="717" customFormat="false" ht="15.75" hidden="true" customHeight="false" outlineLevel="0" collapsed="false">
      <c r="X717" s="10"/>
      <c r="Y717" s="10"/>
      <c r="Z717" s="10"/>
    </row>
    <row r="718" customFormat="false" ht="15.75" hidden="true" customHeight="false" outlineLevel="0" collapsed="false">
      <c r="X718" s="10"/>
      <c r="Y718" s="10"/>
      <c r="Z718" s="10"/>
    </row>
    <row r="719" customFormat="false" ht="15.75" hidden="true" customHeight="false" outlineLevel="0" collapsed="false">
      <c r="X719" s="10"/>
      <c r="Y719" s="10"/>
      <c r="Z719" s="10"/>
    </row>
    <row r="720" customFormat="false" ht="15.75" hidden="true" customHeight="false" outlineLevel="0" collapsed="false">
      <c r="X720" s="10"/>
      <c r="Y720" s="10"/>
      <c r="Z720" s="10"/>
    </row>
    <row r="721" customFormat="false" ht="15.75" hidden="true" customHeight="false" outlineLevel="0" collapsed="false">
      <c r="X721" s="10"/>
      <c r="Y721" s="10"/>
      <c r="Z721" s="10"/>
    </row>
    <row r="722" customFormat="false" ht="15.75" hidden="true" customHeight="false" outlineLevel="0" collapsed="false">
      <c r="X722" s="10"/>
      <c r="Y722" s="10"/>
      <c r="Z722" s="10"/>
    </row>
    <row r="723" customFormat="false" ht="15.75" hidden="true" customHeight="false" outlineLevel="0" collapsed="false">
      <c r="X723" s="10"/>
      <c r="Y723" s="10"/>
      <c r="Z723" s="10"/>
    </row>
    <row r="724" customFormat="false" ht="15.75" hidden="true" customHeight="false" outlineLevel="0" collapsed="false">
      <c r="X724" s="10"/>
      <c r="Y724" s="10"/>
      <c r="Z724" s="10"/>
    </row>
    <row r="725" customFormat="false" ht="15.75" hidden="true" customHeight="false" outlineLevel="0" collapsed="false">
      <c r="X725" s="10"/>
      <c r="Y725" s="10"/>
      <c r="Z725" s="10"/>
    </row>
    <row r="726" customFormat="false" ht="15.75" hidden="true" customHeight="false" outlineLevel="0" collapsed="false">
      <c r="X726" s="10"/>
      <c r="Y726" s="10"/>
      <c r="Z726" s="10"/>
    </row>
    <row r="727" customFormat="false" ht="15.75" hidden="true" customHeight="false" outlineLevel="0" collapsed="false">
      <c r="X727" s="10"/>
      <c r="Y727" s="10"/>
      <c r="Z727" s="10"/>
    </row>
    <row r="728" customFormat="false" ht="15.75" hidden="true" customHeight="false" outlineLevel="0" collapsed="false">
      <c r="X728" s="10"/>
      <c r="Y728" s="10"/>
      <c r="Z728" s="10"/>
    </row>
    <row r="729" customFormat="false" ht="15.75" hidden="true" customHeight="false" outlineLevel="0" collapsed="false">
      <c r="X729" s="10"/>
      <c r="Y729" s="10"/>
      <c r="Z729" s="10"/>
    </row>
    <row r="730" customFormat="false" ht="15.75" hidden="true" customHeight="false" outlineLevel="0" collapsed="false">
      <c r="X730" s="10"/>
      <c r="Y730" s="10"/>
      <c r="Z730" s="10"/>
    </row>
    <row r="731" customFormat="false" ht="15.75" hidden="true" customHeight="false" outlineLevel="0" collapsed="false">
      <c r="X731" s="10"/>
      <c r="Y731" s="10"/>
      <c r="Z731" s="10"/>
    </row>
    <row r="732" customFormat="false" ht="15.75" hidden="true" customHeight="false" outlineLevel="0" collapsed="false">
      <c r="X732" s="10"/>
      <c r="Y732" s="10"/>
      <c r="Z732" s="10"/>
    </row>
    <row r="733" customFormat="false" ht="15.75" hidden="true" customHeight="false" outlineLevel="0" collapsed="false">
      <c r="X733" s="10"/>
      <c r="Y733" s="10"/>
      <c r="Z733" s="10"/>
    </row>
    <row r="734" customFormat="false" ht="15.75" hidden="true" customHeight="false" outlineLevel="0" collapsed="false">
      <c r="X734" s="10"/>
      <c r="Y734" s="10"/>
      <c r="Z734" s="10"/>
    </row>
    <row r="735" customFormat="false" ht="15.75" hidden="true" customHeight="false" outlineLevel="0" collapsed="false">
      <c r="X735" s="10"/>
      <c r="Y735" s="10"/>
      <c r="Z735" s="10"/>
    </row>
    <row r="736" customFormat="false" ht="15.75" hidden="true" customHeight="false" outlineLevel="0" collapsed="false">
      <c r="X736" s="10"/>
      <c r="Y736" s="10"/>
      <c r="Z736" s="10"/>
    </row>
    <row r="737" customFormat="false" ht="15.75" hidden="true" customHeight="false" outlineLevel="0" collapsed="false">
      <c r="X737" s="10"/>
      <c r="Y737" s="10"/>
      <c r="Z737" s="10"/>
    </row>
    <row r="738" customFormat="false" ht="15.75" hidden="true" customHeight="false" outlineLevel="0" collapsed="false">
      <c r="X738" s="10"/>
      <c r="Y738" s="10"/>
      <c r="Z738" s="10"/>
    </row>
    <row r="739" customFormat="false" ht="15.75" hidden="true" customHeight="false" outlineLevel="0" collapsed="false">
      <c r="X739" s="10"/>
      <c r="Y739" s="10"/>
      <c r="Z739" s="10"/>
    </row>
    <row r="740" customFormat="false" ht="15.75" hidden="true" customHeight="false" outlineLevel="0" collapsed="false">
      <c r="X740" s="10"/>
      <c r="Y740" s="10"/>
      <c r="Z740" s="10"/>
    </row>
    <row r="741" customFormat="false" ht="15.75" hidden="true" customHeight="false" outlineLevel="0" collapsed="false">
      <c r="X741" s="10"/>
      <c r="Y741" s="10"/>
      <c r="Z741" s="10"/>
    </row>
    <row r="742" customFormat="false" ht="15.75" hidden="true" customHeight="false" outlineLevel="0" collapsed="false">
      <c r="X742" s="10"/>
      <c r="Y742" s="10"/>
      <c r="Z742" s="10"/>
    </row>
    <row r="743" customFormat="false" ht="15.75" hidden="true" customHeight="false" outlineLevel="0" collapsed="false">
      <c r="X743" s="10"/>
      <c r="Y743" s="10"/>
      <c r="Z743" s="10"/>
    </row>
    <row r="744" customFormat="false" ht="15.75" hidden="true" customHeight="false" outlineLevel="0" collapsed="false">
      <c r="X744" s="10"/>
      <c r="Y744" s="10"/>
      <c r="Z744" s="10"/>
    </row>
    <row r="745" customFormat="false" ht="15.75" hidden="true" customHeight="false" outlineLevel="0" collapsed="false">
      <c r="X745" s="10"/>
      <c r="Y745" s="10"/>
      <c r="Z745" s="10"/>
    </row>
    <row r="746" customFormat="false" ht="15.75" hidden="true" customHeight="false" outlineLevel="0" collapsed="false">
      <c r="X746" s="10"/>
      <c r="Y746" s="10"/>
      <c r="Z746" s="10"/>
    </row>
    <row r="747" customFormat="false" ht="15.75" hidden="true" customHeight="false" outlineLevel="0" collapsed="false">
      <c r="X747" s="10"/>
      <c r="Y747" s="10"/>
      <c r="Z747" s="10"/>
    </row>
    <row r="748" customFormat="false" ht="15.75" hidden="true" customHeight="false" outlineLevel="0" collapsed="false">
      <c r="X748" s="10"/>
      <c r="Y748" s="10"/>
      <c r="Z748" s="10"/>
    </row>
    <row r="749" customFormat="false" ht="15.75" hidden="true" customHeight="false" outlineLevel="0" collapsed="false">
      <c r="X749" s="10"/>
      <c r="Y749" s="10"/>
      <c r="Z749" s="10"/>
    </row>
    <row r="750" customFormat="false" ht="15.75" hidden="true" customHeight="false" outlineLevel="0" collapsed="false">
      <c r="X750" s="10"/>
      <c r="Y750" s="10"/>
      <c r="Z750" s="10"/>
    </row>
    <row r="751" customFormat="false" ht="15.75" hidden="true" customHeight="false" outlineLevel="0" collapsed="false">
      <c r="X751" s="10"/>
      <c r="Y751" s="10"/>
      <c r="Z751" s="10"/>
    </row>
    <row r="752" customFormat="false" ht="15.75" hidden="true" customHeight="false" outlineLevel="0" collapsed="false">
      <c r="X752" s="10"/>
      <c r="Y752" s="10"/>
      <c r="Z752" s="10"/>
    </row>
    <row r="753" customFormat="false" ht="15.75" hidden="true" customHeight="false" outlineLevel="0" collapsed="false">
      <c r="X753" s="10"/>
      <c r="Y753" s="10"/>
      <c r="Z753" s="10"/>
    </row>
    <row r="754" customFormat="false" ht="15.75" hidden="true" customHeight="false" outlineLevel="0" collapsed="false">
      <c r="X754" s="10"/>
      <c r="Y754" s="10"/>
      <c r="Z754" s="10"/>
    </row>
    <row r="755" customFormat="false" ht="15.75" hidden="true" customHeight="false" outlineLevel="0" collapsed="false">
      <c r="X755" s="10"/>
      <c r="Y755" s="10"/>
      <c r="Z755" s="10"/>
    </row>
    <row r="756" customFormat="false" ht="15.75" hidden="true" customHeight="false" outlineLevel="0" collapsed="false">
      <c r="X756" s="10"/>
      <c r="Y756" s="10"/>
      <c r="Z756" s="10"/>
    </row>
    <row r="757" customFormat="false" ht="15.75" hidden="true" customHeight="false" outlineLevel="0" collapsed="false">
      <c r="X757" s="10"/>
      <c r="Y757" s="10"/>
      <c r="Z757" s="10"/>
    </row>
    <row r="758" customFormat="false" ht="15.75" hidden="true" customHeight="false" outlineLevel="0" collapsed="false">
      <c r="X758" s="10"/>
      <c r="Y758" s="10"/>
      <c r="Z758" s="10"/>
    </row>
    <row r="759" customFormat="false" ht="15.75" hidden="true" customHeight="false" outlineLevel="0" collapsed="false">
      <c r="X759" s="10"/>
      <c r="Y759" s="10"/>
      <c r="Z759" s="10"/>
    </row>
    <row r="760" customFormat="false" ht="15.75" hidden="true" customHeight="false" outlineLevel="0" collapsed="false">
      <c r="X760" s="10"/>
      <c r="Y760" s="10"/>
      <c r="Z760" s="10"/>
    </row>
    <row r="761" customFormat="false" ht="15.75" hidden="true" customHeight="false" outlineLevel="0" collapsed="false">
      <c r="X761" s="10"/>
      <c r="Y761" s="10"/>
      <c r="Z761" s="10"/>
    </row>
    <row r="762" customFormat="false" ht="15.75" hidden="true" customHeight="false" outlineLevel="0" collapsed="false">
      <c r="X762" s="10"/>
      <c r="Y762" s="10"/>
      <c r="Z762" s="10"/>
    </row>
    <row r="763" customFormat="false" ht="15.75" hidden="true" customHeight="false" outlineLevel="0" collapsed="false">
      <c r="X763" s="10"/>
      <c r="Y763" s="10"/>
      <c r="Z763" s="10"/>
    </row>
    <row r="764" customFormat="false" ht="15.75" hidden="true" customHeight="false" outlineLevel="0" collapsed="false">
      <c r="X764" s="10"/>
      <c r="Y764" s="10"/>
      <c r="Z764" s="10"/>
    </row>
    <row r="765" customFormat="false" ht="15.75" hidden="true" customHeight="false" outlineLevel="0" collapsed="false">
      <c r="X765" s="10"/>
      <c r="Y765" s="10"/>
      <c r="Z765" s="10"/>
    </row>
    <row r="766" customFormat="false" ht="15.75" hidden="true" customHeight="false" outlineLevel="0" collapsed="false">
      <c r="X766" s="10"/>
      <c r="Y766" s="10"/>
      <c r="Z766" s="10"/>
    </row>
    <row r="767" customFormat="false" ht="15.75" hidden="true" customHeight="false" outlineLevel="0" collapsed="false">
      <c r="X767" s="10"/>
      <c r="Y767" s="10"/>
      <c r="Z767" s="10"/>
    </row>
    <row r="768" customFormat="false" ht="15.75" hidden="true" customHeight="false" outlineLevel="0" collapsed="false">
      <c r="X768" s="10"/>
      <c r="Y768" s="10"/>
      <c r="Z768" s="10"/>
    </row>
    <row r="769" customFormat="false" ht="15.75" hidden="true" customHeight="false" outlineLevel="0" collapsed="false">
      <c r="X769" s="10"/>
      <c r="Y769" s="10"/>
      <c r="Z769" s="10"/>
    </row>
    <row r="770" customFormat="false" ht="15.75" hidden="true" customHeight="false" outlineLevel="0" collapsed="false">
      <c r="X770" s="10"/>
      <c r="Y770" s="10"/>
      <c r="Z770" s="10"/>
    </row>
    <row r="771" customFormat="false" ht="15.75" hidden="true" customHeight="false" outlineLevel="0" collapsed="false">
      <c r="X771" s="10"/>
      <c r="Y771" s="10"/>
      <c r="Z771" s="10"/>
    </row>
    <row r="772" customFormat="false" ht="15.75" hidden="true" customHeight="false" outlineLevel="0" collapsed="false">
      <c r="X772" s="10"/>
      <c r="Y772" s="10"/>
      <c r="Z772" s="10"/>
    </row>
    <row r="773" customFormat="false" ht="15.75" hidden="true" customHeight="false" outlineLevel="0" collapsed="false">
      <c r="X773" s="10"/>
      <c r="Y773" s="10"/>
      <c r="Z773" s="10"/>
    </row>
    <row r="774" customFormat="false" ht="15.75" hidden="true" customHeight="false" outlineLevel="0" collapsed="false">
      <c r="X774" s="10"/>
      <c r="Y774" s="10"/>
      <c r="Z774" s="10"/>
    </row>
    <row r="775" customFormat="false" ht="15.75" hidden="true" customHeight="false" outlineLevel="0" collapsed="false">
      <c r="X775" s="10"/>
      <c r="Y775" s="10"/>
      <c r="Z775" s="10"/>
    </row>
    <row r="776" customFormat="false" ht="15.75" hidden="true" customHeight="false" outlineLevel="0" collapsed="false">
      <c r="X776" s="10"/>
      <c r="Y776" s="10"/>
      <c r="Z776" s="10"/>
    </row>
    <row r="777" customFormat="false" ht="15.75" hidden="true" customHeight="false" outlineLevel="0" collapsed="false">
      <c r="X777" s="10"/>
      <c r="Y777" s="10"/>
      <c r="Z777" s="10"/>
    </row>
    <row r="778" customFormat="false" ht="15.75" hidden="true" customHeight="false" outlineLevel="0" collapsed="false">
      <c r="X778" s="10"/>
      <c r="Y778" s="10"/>
      <c r="Z778" s="10"/>
    </row>
    <row r="779" customFormat="false" ht="15.75" hidden="true" customHeight="false" outlineLevel="0" collapsed="false">
      <c r="X779" s="10"/>
      <c r="Y779" s="10"/>
      <c r="Z779" s="10"/>
    </row>
    <row r="780" customFormat="false" ht="15.75" hidden="true" customHeight="false" outlineLevel="0" collapsed="false">
      <c r="X780" s="10"/>
      <c r="Y780" s="10"/>
      <c r="Z780" s="10"/>
    </row>
    <row r="781" customFormat="false" ht="15.75" hidden="true" customHeight="false" outlineLevel="0" collapsed="false">
      <c r="X781" s="10"/>
      <c r="Y781" s="10"/>
      <c r="Z781" s="10"/>
    </row>
    <row r="782" customFormat="false" ht="15.75" hidden="true" customHeight="false" outlineLevel="0" collapsed="false">
      <c r="X782" s="10"/>
      <c r="Y782" s="10"/>
      <c r="Z782" s="10"/>
    </row>
    <row r="783" customFormat="false" ht="15.75" hidden="true" customHeight="false" outlineLevel="0" collapsed="false">
      <c r="X783" s="10"/>
      <c r="Y783" s="10"/>
      <c r="Z783" s="10"/>
    </row>
    <row r="784" customFormat="false" ht="15.75" hidden="true" customHeight="false" outlineLevel="0" collapsed="false">
      <c r="X784" s="10"/>
      <c r="Y784" s="10"/>
      <c r="Z784" s="10"/>
    </row>
    <row r="785" customFormat="false" ht="15.75" hidden="true" customHeight="false" outlineLevel="0" collapsed="false">
      <c r="X785" s="10"/>
      <c r="Y785" s="10"/>
      <c r="Z785" s="10"/>
    </row>
    <row r="786" customFormat="false" ht="15.75" hidden="true" customHeight="false" outlineLevel="0" collapsed="false">
      <c r="X786" s="10"/>
      <c r="Y786" s="10"/>
      <c r="Z786" s="10"/>
    </row>
    <row r="787" customFormat="false" ht="15.75" hidden="true" customHeight="false" outlineLevel="0" collapsed="false">
      <c r="X787" s="10"/>
      <c r="Y787" s="10"/>
      <c r="Z787" s="10"/>
    </row>
    <row r="788" customFormat="false" ht="15.75" hidden="true" customHeight="false" outlineLevel="0" collapsed="false">
      <c r="X788" s="10"/>
      <c r="Y788" s="10"/>
      <c r="Z788" s="10"/>
    </row>
    <row r="789" customFormat="false" ht="15.75" hidden="true" customHeight="false" outlineLevel="0" collapsed="false">
      <c r="X789" s="10"/>
      <c r="Y789" s="10"/>
      <c r="Z789" s="10"/>
    </row>
    <row r="790" customFormat="false" ht="15.75" hidden="true" customHeight="false" outlineLevel="0" collapsed="false">
      <c r="X790" s="10"/>
      <c r="Y790" s="10"/>
      <c r="Z790" s="10"/>
    </row>
    <row r="791" customFormat="false" ht="15.75" hidden="true" customHeight="false" outlineLevel="0" collapsed="false">
      <c r="X791" s="10"/>
      <c r="Y791" s="10"/>
      <c r="Z791" s="10"/>
    </row>
    <row r="792" customFormat="false" ht="15.75" hidden="true" customHeight="false" outlineLevel="0" collapsed="false">
      <c r="X792" s="10"/>
      <c r="Y792" s="10"/>
      <c r="Z792" s="10"/>
    </row>
    <row r="793" customFormat="false" ht="15.75" hidden="true" customHeight="false" outlineLevel="0" collapsed="false">
      <c r="X793" s="10"/>
      <c r="Y793" s="10"/>
      <c r="Z793" s="10"/>
    </row>
    <row r="794" customFormat="false" ht="15.75" hidden="true" customHeight="false" outlineLevel="0" collapsed="false">
      <c r="X794" s="10"/>
      <c r="Y794" s="10"/>
      <c r="Z794" s="10"/>
    </row>
    <row r="795" customFormat="false" ht="15.75" hidden="true" customHeight="false" outlineLevel="0" collapsed="false">
      <c r="X795" s="10"/>
      <c r="Y795" s="10"/>
      <c r="Z795" s="10"/>
    </row>
    <row r="796" customFormat="false" ht="15.75" hidden="true" customHeight="false" outlineLevel="0" collapsed="false">
      <c r="X796" s="10"/>
      <c r="Y796" s="10"/>
      <c r="Z796" s="10"/>
    </row>
    <row r="797" customFormat="false" ht="15.75" hidden="true" customHeight="false" outlineLevel="0" collapsed="false">
      <c r="X797" s="10"/>
      <c r="Y797" s="10"/>
      <c r="Z797" s="10"/>
    </row>
    <row r="798" customFormat="false" ht="15.75" hidden="true" customHeight="false" outlineLevel="0" collapsed="false">
      <c r="X798" s="10"/>
      <c r="Y798" s="10"/>
      <c r="Z798" s="10"/>
    </row>
    <row r="799" customFormat="false" ht="15.75" hidden="true" customHeight="false" outlineLevel="0" collapsed="false">
      <c r="X799" s="10"/>
      <c r="Y799" s="10"/>
      <c r="Z799" s="10"/>
    </row>
    <row r="800" customFormat="false" ht="15.75" hidden="true" customHeight="false" outlineLevel="0" collapsed="false">
      <c r="X800" s="10"/>
      <c r="Y800" s="10"/>
      <c r="Z800" s="10"/>
    </row>
    <row r="801" customFormat="false" ht="15.75" hidden="true" customHeight="false" outlineLevel="0" collapsed="false">
      <c r="X801" s="10"/>
      <c r="Y801" s="10"/>
      <c r="Z801" s="10"/>
    </row>
    <row r="802" customFormat="false" ht="15.75" hidden="true" customHeight="false" outlineLevel="0" collapsed="false">
      <c r="X802" s="10"/>
      <c r="Y802" s="10"/>
      <c r="Z802" s="10"/>
    </row>
    <row r="803" customFormat="false" ht="15.75" hidden="true" customHeight="false" outlineLevel="0" collapsed="false">
      <c r="X803" s="10"/>
      <c r="Y803" s="10"/>
      <c r="Z803" s="10"/>
    </row>
    <row r="804" customFormat="false" ht="15.75" hidden="true" customHeight="false" outlineLevel="0" collapsed="false">
      <c r="X804" s="10"/>
      <c r="Y804" s="10"/>
      <c r="Z804" s="10"/>
    </row>
    <row r="805" customFormat="false" ht="15.75" hidden="true" customHeight="false" outlineLevel="0" collapsed="false">
      <c r="X805" s="10"/>
      <c r="Y805" s="10"/>
      <c r="Z805" s="10"/>
    </row>
    <row r="806" customFormat="false" ht="15.75" hidden="true" customHeight="false" outlineLevel="0" collapsed="false">
      <c r="X806" s="10"/>
      <c r="Y806" s="10"/>
      <c r="Z806" s="10"/>
    </row>
    <row r="807" customFormat="false" ht="15.75" hidden="true" customHeight="false" outlineLevel="0" collapsed="false">
      <c r="X807" s="10"/>
      <c r="Y807" s="10"/>
      <c r="Z807" s="10"/>
    </row>
    <row r="808" customFormat="false" ht="15.75" hidden="true" customHeight="false" outlineLevel="0" collapsed="false">
      <c r="X808" s="10"/>
      <c r="Y808" s="10"/>
      <c r="Z808" s="10"/>
    </row>
    <row r="809" customFormat="false" ht="15.75" hidden="true" customHeight="false" outlineLevel="0" collapsed="false">
      <c r="X809" s="10"/>
      <c r="Y809" s="10"/>
      <c r="Z809" s="10"/>
    </row>
    <row r="810" customFormat="false" ht="15.75" hidden="true" customHeight="false" outlineLevel="0" collapsed="false">
      <c r="X810" s="10"/>
      <c r="Y810" s="10"/>
      <c r="Z810" s="10"/>
    </row>
    <row r="811" customFormat="false" ht="15.75" hidden="true" customHeight="false" outlineLevel="0" collapsed="false">
      <c r="X811" s="10"/>
      <c r="Y811" s="10"/>
      <c r="Z811" s="10"/>
    </row>
    <row r="812" customFormat="false" ht="15.75" hidden="true" customHeight="false" outlineLevel="0" collapsed="false">
      <c r="X812" s="10"/>
      <c r="Y812" s="10"/>
      <c r="Z812" s="10"/>
    </row>
    <row r="813" customFormat="false" ht="15.75" hidden="true" customHeight="false" outlineLevel="0" collapsed="false">
      <c r="X813" s="10"/>
      <c r="Y813" s="10"/>
      <c r="Z813" s="10"/>
    </row>
    <row r="814" customFormat="false" ht="15.75" hidden="true" customHeight="false" outlineLevel="0" collapsed="false">
      <c r="X814" s="10"/>
      <c r="Y814" s="10"/>
      <c r="Z814" s="10"/>
    </row>
    <row r="815" customFormat="false" ht="15.75" hidden="true" customHeight="false" outlineLevel="0" collapsed="false">
      <c r="X815" s="10"/>
      <c r="Y815" s="10"/>
      <c r="Z815" s="10"/>
    </row>
    <row r="816" customFormat="false" ht="15.75" hidden="true" customHeight="false" outlineLevel="0" collapsed="false">
      <c r="X816" s="10"/>
      <c r="Y816" s="10"/>
      <c r="Z816" s="10"/>
    </row>
    <row r="817" customFormat="false" ht="15.75" hidden="true" customHeight="false" outlineLevel="0" collapsed="false">
      <c r="X817" s="10"/>
      <c r="Y817" s="10"/>
      <c r="Z817" s="10"/>
    </row>
    <row r="818" customFormat="false" ht="15.75" hidden="true" customHeight="false" outlineLevel="0" collapsed="false">
      <c r="X818" s="10"/>
      <c r="Y818" s="10"/>
      <c r="Z818" s="10"/>
    </row>
    <row r="819" customFormat="false" ht="15.75" hidden="true" customHeight="false" outlineLevel="0" collapsed="false">
      <c r="X819" s="10"/>
      <c r="Y819" s="10"/>
      <c r="Z819" s="10"/>
    </row>
    <row r="820" customFormat="false" ht="15.75" hidden="true" customHeight="false" outlineLevel="0" collapsed="false">
      <c r="X820" s="10"/>
      <c r="Y820" s="10"/>
      <c r="Z820" s="10"/>
    </row>
    <row r="821" customFormat="false" ht="15.75" hidden="true" customHeight="false" outlineLevel="0" collapsed="false">
      <c r="X821" s="10"/>
      <c r="Y821" s="10"/>
      <c r="Z821" s="10"/>
    </row>
    <row r="822" customFormat="false" ht="15.75" hidden="true" customHeight="false" outlineLevel="0" collapsed="false">
      <c r="X822" s="10"/>
      <c r="Y822" s="10"/>
      <c r="Z822" s="10"/>
    </row>
    <row r="823" customFormat="false" ht="15.75" hidden="true" customHeight="false" outlineLevel="0" collapsed="false">
      <c r="X823" s="10"/>
      <c r="Y823" s="10"/>
      <c r="Z823" s="10"/>
    </row>
    <row r="824" customFormat="false" ht="15.75" hidden="true" customHeight="false" outlineLevel="0" collapsed="false">
      <c r="X824" s="10"/>
      <c r="Y824" s="10"/>
      <c r="Z824" s="10"/>
    </row>
    <row r="825" customFormat="false" ht="15.75" hidden="true" customHeight="false" outlineLevel="0" collapsed="false">
      <c r="X825" s="10"/>
      <c r="Y825" s="10"/>
      <c r="Z825" s="10"/>
    </row>
    <row r="826" customFormat="false" ht="15.75" hidden="true" customHeight="false" outlineLevel="0" collapsed="false">
      <c r="X826" s="10"/>
      <c r="Y826" s="10"/>
      <c r="Z826" s="10"/>
    </row>
    <row r="827" customFormat="false" ht="15.75" hidden="true" customHeight="false" outlineLevel="0" collapsed="false">
      <c r="X827" s="10"/>
      <c r="Y827" s="10"/>
      <c r="Z827" s="10"/>
    </row>
    <row r="828" customFormat="false" ht="15.75" hidden="true" customHeight="false" outlineLevel="0" collapsed="false">
      <c r="X828" s="10"/>
      <c r="Y828" s="10"/>
      <c r="Z828" s="10"/>
    </row>
    <row r="829" customFormat="false" ht="15.75" hidden="true" customHeight="false" outlineLevel="0" collapsed="false">
      <c r="X829" s="10"/>
      <c r="Y829" s="10"/>
      <c r="Z829" s="10"/>
    </row>
    <row r="830" customFormat="false" ht="15.75" hidden="true" customHeight="false" outlineLevel="0" collapsed="false">
      <c r="X830" s="10"/>
      <c r="Y830" s="10"/>
      <c r="Z830" s="10"/>
    </row>
    <row r="831" customFormat="false" ht="15.75" hidden="true" customHeight="false" outlineLevel="0" collapsed="false">
      <c r="X831" s="10"/>
      <c r="Y831" s="10"/>
      <c r="Z831" s="10"/>
    </row>
    <row r="832" customFormat="false" ht="15.75" hidden="true" customHeight="false" outlineLevel="0" collapsed="false">
      <c r="X832" s="10"/>
      <c r="Y832" s="10"/>
      <c r="Z832" s="10"/>
    </row>
    <row r="833" customFormat="false" ht="15.75" hidden="true" customHeight="false" outlineLevel="0" collapsed="false">
      <c r="X833" s="10"/>
      <c r="Y833" s="10"/>
      <c r="Z833" s="10"/>
    </row>
    <row r="834" customFormat="false" ht="15.75" hidden="true" customHeight="false" outlineLevel="0" collapsed="false">
      <c r="X834" s="10"/>
      <c r="Y834" s="10"/>
      <c r="Z834" s="10"/>
    </row>
    <row r="835" customFormat="false" ht="15.75" hidden="true" customHeight="false" outlineLevel="0" collapsed="false">
      <c r="X835" s="10"/>
      <c r="Y835" s="10"/>
      <c r="Z835" s="10"/>
    </row>
    <row r="836" customFormat="false" ht="15.75" hidden="true" customHeight="false" outlineLevel="0" collapsed="false">
      <c r="X836" s="10"/>
      <c r="Y836" s="10"/>
      <c r="Z836" s="10"/>
    </row>
    <row r="837" customFormat="false" ht="15.75" hidden="true" customHeight="false" outlineLevel="0" collapsed="false">
      <c r="X837" s="10"/>
      <c r="Y837" s="10"/>
      <c r="Z837" s="10"/>
    </row>
    <row r="838" customFormat="false" ht="15.75" hidden="true" customHeight="false" outlineLevel="0" collapsed="false">
      <c r="X838" s="10"/>
      <c r="Y838" s="10"/>
      <c r="Z838" s="10"/>
    </row>
    <row r="839" customFormat="false" ht="15.75" hidden="true" customHeight="false" outlineLevel="0" collapsed="false">
      <c r="X839" s="10"/>
      <c r="Y839" s="10"/>
      <c r="Z839" s="10"/>
    </row>
    <row r="840" customFormat="false" ht="15.75" hidden="true" customHeight="false" outlineLevel="0" collapsed="false">
      <c r="X840" s="10"/>
      <c r="Y840" s="10"/>
      <c r="Z840" s="10"/>
    </row>
    <row r="841" customFormat="false" ht="15.75" hidden="true" customHeight="false" outlineLevel="0" collapsed="false">
      <c r="X841" s="10"/>
      <c r="Y841" s="10"/>
      <c r="Z841" s="10"/>
    </row>
    <row r="842" customFormat="false" ht="15.75" hidden="true" customHeight="false" outlineLevel="0" collapsed="false">
      <c r="X842" s="10"/>
      <c r="Y842" s="10"/>
      <c r="Z842" s="10"/>
    </row>
    <row r="843" customFormat="false" ht="15.75" hidden="true" customHeight="false" outlineLevel="0" collapsed="false">
      <c r="X843" s="10"/>
      <c r="Y843" s="10"/>
      <c r="Z843" s="10"/>
    </row>
    <row r="844" customFormat="false" ht="15.75" hidden="true" customHeight="false" outlineLevel="0" collapsed="false">
      <c r="X844" s="10"/>
      <c r="Y844" s="10"/>
      <c r="Z844" s="10"/>
    </row>
    <row r="845" customFormat="false" ht="15.75" hidden="true" customHeight="false" outlineLevel="0" collapsed="false">
      <c r="X845" s="10"/>
      <c r="Y845" s="10"/>
      <c r="Z845" s="10"/>
    </row>
    <row r="846" customFormat="false" ht="15.75" hidden="true" customHeight="false" outlineLevel="0" collapsed="false">
      <c r="X846" s="10"/>
      <c r="Y846" s="10"/>
      <c r="Z846" s="10"/>
    </row>
    <row r="847" customFormat="false" ht="15.75" hidden="true" customHeight="false" outlineLevel="0" collapsed="false">
      <c r="X847" s="10"/>
      <c r="Y847" s="10"/>
      <c r="Z847" s="10"/>
    </row>
    <row r="848" customFormat="false" ht="15.75" hidden="true" customHeight="false" outlineLevel="0" collapsed="false">
      <c r="X848" s="10"/>
      <c r="Y848" s="10"/>
      <c r="Z848" s="10"/>
    </row>
    <row r="849" customFormat="false" ht="15.75" hidden="true" customHeight="false" outlineLevel="0" collapsed="false">
      <c r="X849" s="10"/>
      <c r="Y849" s="10"/>
      <c r="Z849" s="10"/>
    </row>
    <row r="850" customFormat="false" ht="15.75" hidden="true" customHeight="false" outlineLevel="0" collapsed="false">
      <c r="X850" s="10"/>
      <c r="Y850" s="10"/>
      <c r="Z850" s="10"/>
    </row>
    <row r="851" customFormat="false" ht="15.75" hidden="true" customHeight="false" outlineLevel="0" collapsed="false">
      <c r="X851" s="10"/>
      <c r="Y851" s="10"/>
      <c r="Z851" s="10"/>
    </row>
    <row r="852" customFormat="false" ht="15.75" hidden="true" customHeight="false" outlineLevel="0" collapsed="false">
      <c r="X852" s="10"/>
      <c r="Y852" s="10"/>
      <c r="Z852" s="10"/>
    </row>
    <row r="853" customFormat="false" ht="15.75" hidden="true" customHeight="false" outlineLevel="0" collapsed="false">
      <c r="X853" s="10"/>
      <c r="Y853" s="10"/>
      <c r="Z853" s="10"/>
    </row>
    <row r="854" customFormat="false" ht="15.75" hidden="true" customHeight="false" outlineLevel="0" collapsed="false">
      <c r="X854" s="10"/>
      <c r="Y854" s="10"/>
      <c r="Z854" s="10"/>
    </row>
    <row r="855" customFormat="false" ht="15.75" hidden="true" customHeight="false" outlineLevel="0" collapsed="false">
      <c r="X855" s="10"/>
      <c r="Y855" s="10"/>
      <c r="Z855" s="10"/>
    </row>
    <row r="856" customFormat="false" ht="15.75" hidden="true" customHeight="false" outlineLevel="0" collapsed="false">
      <c r="X856" s="10"/>
      <c r="Y856" s="10"/>
      <c r="Z856" s="10"/>
    </row>
    <row r="857" customFormat="false" ht="15.75" hidden="true" customHeight="false" outlineLevel="0" collapsed="false">
      <c r="X857" s="10"/>
      <c r="Y857" s="10"/>
      <c r="Z857" s="10"/>
    </row>
    <row r="858" customFormat="false" ht="15.75" hidden="true" customHeight="false" outlineLevel="0" collapsed="false">
      <c r="X858" s="10"/>
      <c r="Y858" s="10"/>
      <c r="Z858" s="10"/>
    </row>
    <row r="859" customFormat="false" ht="15.75" hidden="true" customHeight="false" outlineLevel="0" collapsed="false">
      <c r="X859" s="10"/>
      <c r="Y859" s="10"/>
      <c r="Z859" s="10"/>
    </row>
    <row r="860" customFormat="false" ht="15.75" hidden="true" customHeight="false" outlineLevel="0" collapsed="false">
      <c r="X860" s="10"/>
      <c r="Y860" s="10"/>
      <c r="Z860" s="10"/>
    </row>
    <row r="861" customFormat="false" ht="15.75" hidden="true" customHeight="false" outlineLevel="0" collapsed="false">
      <c r="X861" s="10"/>
      <c r="Y861" s="10"/>
      <c r="Z861" s="10"/>
    </row>
    <row r="862" customFormat="false" ht="15.75" hidden="true" customHeight="false" outlineLevel="0" collapsed="false">
      <c r="X862" s="10"/>
      <c r="Y862" s="10"/>
      <c r="Z862" s="10"/>
    </row>
    <row r="863" customFormat="false" ht="15.75" hidden="true" customHeight="false" outlineLevel="0" collapsed="false">
      <c r="X863" s="10"/>
      <c r="Y863" s="10"/>
      <c r="Z863" s="10"/>
    </row>
    <row r="864" customFormat="false" ht="15.75" hidden="true" customHeight="false" outlineLevel="0" collapsed="false">
      <c r="X864" s="10"/>
      <c r="Y864" s="10"/>
      <c r="Z864" s="10"/>
    </row>
    <row r="865" customFormat="false" ht="15.75" hidden="true" customHeight="false" outlineLevel="0" collapsed="false">
      <c r="X865" s="10"/>
      <c r="Y865" s="10"/>
      <c r="Z865" s="10"/>
    </row>
    <row r="866" customFormat="false" ht="15.75" hidden="true" customHeight="false" outlineLevel="0" collapsed="false">
      <c r="X866" s="10"/>
      <c r="Y866" s="10"/>
      <c r="Z866" s="10"/>
    </row>
    <row r="867" customFormat="false" ht="15.75" hidden="true" customHeight="false" outlineLevel="0" collapsed="false">
      <c r="X867" s="10"/>
      <c r="Y867" s="10"/>
      <c r="Z867" s="10"/>
    </row>
    <row r="868" customFormat="false" ht="15.75" hidden="true" customHeight="false" outlineLevel="0" collapsed="false">
      <c r="X868" s="10"/>
      <c r="Y868" s="10"/>
      <c r="Z868" s="10"/>
    </row>
    <row r="869" customFormat="false" ht="15.75" hidden="true" customHeight="false" outlineLevel="0" collapsed="false">
      <c r="X869" s="10"/>
      <c r="Y869" s="10"/>
      <c r="Z869" s="10"/>
    </row>
    <row r="870" customFormat="false" ht="15.75" hidden="true" customHeight="false" outlineLevel="0" collapsed="false">
      <c r="X870" s="10"/>
      <c r="Y870" s="10"/>
      <c r="Z870" s="10"/>
    </row>
    <row r="871" customFormat="false" ht="15.75" hidden="true" customHeight="false" outlineLevel="0" collapsed="false">
      <c r="X871" s="10"/>
      <c r="Y871" s="10"/>
      <c r="Z871" s="10"/>
    </row>
    <row r="872" customFormat="false" ht="15.75" hidden="true" customHeight="false" outlineLevel="0" collapsed="false">
      <c r="X872" s="10"/>
      <c r="Y872" s="10"/>
      <c r="Z872" s="10"/>
    </row>
    <row r="873" customFormat="false" ht="15.75" hidden="true" customHeight="false" outlineLevel="0" collapsed="false">
      <c r="X873" s="10"/>
      <c r="Y873" s="10"/>
      <c r="Z873" s="10"/>
    </row>
    <row r="874" customFormat="false" ht="15.75" hidden="true" customHeight="false" outlineLevel="0" collapsed="false">
      <c r="X874" s="10"/>
      <c r="Y874" s="10"/>
      <c r="Z874" s="10"/>
    </row>
    <row r="875" customFormat="false" ht="15.75" hidden="true" customHeight="false" outlineLevel="0" collapsed="false">
      <c r="X875" s="10"/>
      <c r="Y875" s="10"/>
      <c r="Z875" s="10"/>
    </row>
    <row r="876" customFormat="false" ht="15.75" hidden="true" customHeight="false" outlineLevel="0" collapsed="false">
      <c r="X876" s="10"/>
      <c r="Y876" s="10"/>
      <c r="Z876" s="10"/>
    </row>
    <row r="877" customFormat="false" ht="15.75" hidden="true" customHeight="false" outlineLevel="0" collapsed="false">
      <c r="X877" s="10"/>
      <c r="Y877" s="10"/>
      <c r="Z877" s="10"/>
    </row>
    <row r="878" customFormat="false" ht="15.75" hidden="true" customHeight="false" outlineLevel="0" collapsed="false">
      <c r="X878" s="10"/>
      <c r="Y878" s="10"/>
      <c r="Z878" s="10"/>
    </row>
    <row r="879" customFormat="false" ht="15.75" hidden="true" customHeight="false" outlineLevel="0" collapsed="false">
      <c r="X879" s="10"/>
      <c r="Y879" s="10"/>
      <c r="Z879" s="10"/>
    </row>
    <row r="880" customFormat="false" ht="15.75" hidden="true" customHeight="false" outlineLevel="0" collapsed="false">
      <c r="X880" s="10"/>
      <c r="Y880" s="10"/>
      <c r="Z880" s="10"/>
    </row>
    <row r="881" customFormat="false" ht="15.75" hidden="true" customHeight="false" outlineLevel="0" collapsed="false">
      <c r="X881" s="10"/>
      <c r="Y881" s="10"/>
      <c r="Z881" s="10"/>
    </row>
    <row r="882" customFormat="false" ht="15.75" hidden="true" customHeight="false" outlineLevel="0" collapsed="false">
      <c r="X882" s="10"/>
      <c r="Y882" s="10"/>
      <c r="Z882" s="10"/>
    </row>
    <row r="883" customFormat="false" ht="15.75" hidden="true" customHeight="false" outlineLevel="0" collapsed="false">
      <c r="X883" s="10"/>
      <c r="Y883" s="10"/>
      <c r="Z883" s="10"/>
    </row>
    <row r="884" customFormat="false" ht="15.75" hidden="true" customHeight="false" outlineLevel="0" collapsed="false">
      <c r="X884" s="10"/>
      <c r="Y884" s="10"/>
      <c r="Z884" s="10"/>
    </row>
    <row r="885" customFormat="false" ht="15.75" hidden="true" customHeight="false" outlineLevel="0" collapsed="false">
      <c r="X885" s="10"/>
      <c r="Y885" s="10"/>
      <c r="Z885" s="10"/>
    </row>
    <row r="886" customFormat="false" ht="15.75" hidden="true" customHeight="false" outlineLevel="0" collapsed="false">
      <c r="X886" s="10"/>
      <c r="Y886" s="10"/>
      <c r="Z886" s="10"/>
    </row>
    <row r="887" customFormat="false" ht="15.75" hidden="true" customHeight="false" outlineLevel="0" collapsed="false">
      <c r="X887" s="10"/>
      <c r="Y887" s="10"/>
      <c r="Z887" s="10"/>
    </row>
    <row r="888" customFormat="false" ht="15.75" hidden="true" customHeight="false" outlineLevel="0" collapsed="false">
      <c r="X888" s="10"/>
      <c r="Y888" s="10"/>
      <c r="Z888" s="10"/>
    </row>
    <row r="889" customFormat="false" ht="15.75" hidden="true" customHeight="false" outlineLevel="0" collapsed="false">
      <c r="X889" s="10"/>
      <c r="Y889" s="10"/>
      <c r="Z889" s="10"/>
    </row>
    <row r="890" customFormat="false" ht="15.75" hidden="true" customHeight="false" outlineLevel="0" collapsed="false">
      <c r="X890" s="10"/>
      <c r="Y890" s="10"/>
      <c r="Z890" s="10"/>
    </row>
    <row r="891" customFormat="false" ht="15.75" hidden="true" customHeight="false" outlineLevel="0" collapsed="false">
      <c r="X891" s="10"/>
      <c r="Y891" s="10"/>
      <c r="Z891" s="10"/>
    </row>
    <row r="892" customFormat="false" ht="15.75" hidden="true" customHeight="false" outlineLevel="0" collapsed="false">
      <c r="X892" s="10"/>
      <c r="Y892" s="10"/>
      <c r="Z892" s="10"/>
    </row>
    <row r="893" customFormat="false" ht="15.75" hidden="true" customHeight="false" outlineLevel="0" collapsed="false">
      <c r="X893" s="10"/>
      <c r="Y893" s="10"/>
      <c r="Z893" s="10"/>
    </row>
    <row r="894" customFormat="false" ht="15.75" hidden="true" customHeight="false" outlineLevel="0" collapsed="false">
      <c r="X894" s="10"/>
      <c r="Y894" s="10"/>
      <c r="Z894" s="10"/>
    </row>
    <row r="895" customFormat="false" ht="15.75" hidden="true" customHeight="false" outlineLevel="0" collapsed="false">
      <c r="X895" s="10"/>
      <c r="Y895" s="10"/>
      <c r="Z895" s="10"/>
    </row>
    <row r="896" customFormat="false" ht="15.75" hidden="true" customHeight="false" outlineLevel="0" collapsed="false">
      <c r="X896" s="10"/>
      <c r="Y896" s="10"/>
      <c r="Z896" s="10"/>
    </row>
    <row r="897" customFormat="false" ht="15.75" hidden="true" customHeight="false" outlineLevel="0" collapsed="false">
      <c r="X897" s="10"/>
      <c r="Y897" s="10"/>
      <c r="Z897" s="10"/>
    </row>
    <row r="898" customFormat="false" ht="15.75" hidden="true" customHeight="false" outlineLevel="0" collapsed="false">
      <c r="X898" s="10"/>
      <c r="Y898" s="10"/>
      <c r="Z898" s="10"/>
    </row>
    <row r="899" customFormat="false" ht="15.75" hidden="true" customHeight="false" outlineLevel="0" collapsed="false">
      <c r="X899" s="10"/>
      <c r="Y899" s="10"/>
      <c r="Z899" s="10"/>
    </row>
    <row r="900" customFormat="false" ht="15.75" hidden="true" customHeight="false" outlineLevel="0" collapsed="false">
      <c r="X900" s="10"/>
      <c r="Y900" s="10"/>
      <c r="Z900" s="10"/>
    </row>
    <row r="901" customFormat="false" ht="15.75" hidden="true" customHeight="false" outlineLevel="0" collapsed="false">
      <c r="X901" s="10"/>
      <c r="Y901" s="10"/>
      <c r="Z901" s="10"/>
    </row>
    <row r="902" customFormat="false" ht="15.75" hidden="true" customHeight="false" outlineLevel="0" collapsed="false">
      <c r="X902" s="10"/>
      <c r="Y902" s="10"/>
      <c r="Z902" s="10"/>
    </row>
    <row r="903" customFormat="false" ht="15.75" hidden="true" customHeight="false" outlineLevel="0" collapsed="false">
      <c r="X903" s="10"/>
      <c r="Y903" s="10"/>
      <c r="Z903" s="10"/>
    </row>
    <row r="904" customFormat="false" ht="15.75" hidden="true" customHeight="false" outlineLevel="0" collapsed="false">
      <c r="X904" s="10"/>
      <c r="Y904" s="10"/>
      <c r="Z904" s="10"/>
    </row>
    <row r="905" customFormat="false" ht="15.75" hidden="true" customHeight="false" outlineLevel="0" collapsed="false">
      <c r="X905" s="10"/>
      <c r="Y905" s="10"/>
      <c r="Z905" s="10"/>
    </row>
    <row r="906" customFormat="false" ht="15.75" hidden="true" customHeight="false" outlineLevel="0" collapsed="false">
      <c r="X906" s="10"/>
      <c r="Y906" s="10"/>
      <c r="Z906" s="10"/>
    </row>
    <row r="907" customFormat="false" ht="15.75" hidden="true" customHeight="false" outlineLevel="0" collapsed="false">
      <c r="X907" s="10"/>
      <c r="Y907" s="10"/>
      <c r="Z907" s="10"/>
    </row>
    <row r="908" customFormat="false" ht="15.75" hidden="true" customHeight="false" outlineLevel="0" collapsed="false">
      <c r="X908" s="10"/>
      <c r="Y908" s="10"/>
      <c r="Z908" s="10"/>
    </row>
    <row r="909" customFormat="false" ht="15.75" hidden="true" customHeight="false" outlineLevel="0" collapsed="false">
      <c r="X909" s="10"/>
      <c r="Y909" s="10"/>
      <c r="Z909" s="10"/>
    </row>
    <row r="910" customFormat="false" ht="15.75" hidden="true" customHeight="false" outlineLevel="0" collapsed="false">
      <c r="X910" s="10"/>
      <c r="Y910" s="10"/>
      <c r="Z910" s="10"/>
    </row>
    <row r="911" customFormat="false" ht="15.75" hidden="true" customHeight="false" outlineLevel="0" collapsed="false">
      <c r="X911" s="10"/>
      <c r="Y911" s="10"/>
      <c r="Z911" s="10"/>
    </row>
    <row r="912" customFormat="false" ht="15.75" hidden="true" customHeight="false" outlineLevel="0" collapsed="false">
      <c r="X912" s="10"/>
      <c r="Y912" s="10"/>
      <c r="Z912" s="10"/>
    </row>
    <row r="913" customFormat="false" ht="15.75" hidden="true" customHeight="false" outlineLevel="0" collapsed="false">
      <c r="X913" s="10"/>
      <c r="Y913" s="10"/>
      <c r="Z913" s="10"/>
    </row>
    <row r="914" customFormat="false" ht="15.75" hidden="true" customHeight="false" outlineLevel="0" collapsed="false">
      <c r="X914" s="10"/>
      <c r="Y914" s="10"/>
      <c r="Z914" s="10"/>
    </row>
    <row r="915" customFormat="false" ht="15.75" hidden="true" customHeight="false" outlineLevel="0" collapsed="false">
      <c r="X915" s="10"/>
      <c r="Y915" s="10"/>
      <c r="Z915" s="10"/>
    </row>
    <row r="916" customFormat="false" ht="15.75" hidden="true" customHeight="false" outlineLevel="0" collapsed="false">
      <c r="X916" s="10"/>
      <c r="Y916" s="10"/>
      <c r="Z916" s="10"/>
    </row>
    <row r="917" customFormat="false" ht="15.75" hidden="true" customHeight="false" outlineLevel="0" collapsed="false">
      <c r="X917" s="10"/>
      <c r="Y917" s="10"/>
      <c r="Z917" s="10"/>
    </row>
    <row r="918" customFormat="false" ht="15.75" hidden="true" customHeight="false" outlineLevel="0" collapsed="false">
      <c r="X918" s="10"/>
      <c r="Y918" s="10"/>
      <c r="Z918" s="10"/>
    </row>
    <row r="919" customFormat="false" ht="15.75" hidden="true" customHeight="false" outlineLevel="0" collapsed="false">
      <c r="X919" s="10"/>
      <c r="Y919" s="10"/>
      <c r="Z919" s="10"/>
    </row>
    <row r="920" customFormat="false" ht="15.75" hidden="true" customHeight="false" outlineLevel="0" collapsed="false">
      <c r="X920" s="10"/>
      <c r="Y920" s="10"/>
      <c r="Z920" s="10"/>
    </row>
    <row r="921" customFormat="false" ht="15.75" hidden="true" customHeight="false" outlineLevel="0" collapsed="false">
      <c r="X921" s="10"/>
      <c r="Y921" s="10"/>
      <c r="Z921" s="10"/>
    </row>
    <row r="922" customFormat="false" ht="15.75" hidden="true" customHeight="false" outlineLevel="0" collapsed="false">
      <c r="X922" s="10"/>
      <c r="Y922" s="10"/>
      <c r="Z922" s="10"/>
    </row>
    <row r="923" customFormat="false" ht="15.75" hidden="true" customHeight="false" outlineLevel="0" collapsed="false">
      <c r="X923" s="10"/>
      <c r="Y923" s="10"/>
      <c r="Z923" s="10"/>
    </row>
    <row r="924" customFormat="false" ht="15.75" hidden="true" customHeight="false" outlineLevel="0" collapsed="false">
      <c r="X924" s="10"/>
      <c r="Y924" s="10"/>
      <c r="Z924" s="10"/>
    </row>
    <row r="925" customFormat="false" ht="15.75" hidden="true" customHeight="false" outlineLevel="0" collapsed="false">
      <c r="X925" s="10"/>
      <c r="Y925" s="10"/>
      <c r="Z925" s="10"/>
    </row>
    <row r="926" customFormat="false" ht="15.75" hidden="true" customHeight="false" outlineLevel="0" collapsed="false">
      <c r="X926" s="10"/>
      <c r="Y926" s="10"/>
      <c r="Z926" s="10"/>
    </row>
    <row r="927" customFormat="false" ht="15.75" hidden="true" customHeight="false" outlineLevel="0" collapsed="false">
      <c r="X927" s="10"/>
      <c r="Y927" s="10"/>
      <c r="Z927" s="10"/>
    </row>
    <row r="928" customFormat="false" ht="15.75" hidden="true" customHeight="false" outlineLevel="0" collapsed="false">
      <c r="X928" s="10"/>
      <c r="Y928" s="10"/>
      <c r="Z928" s="10"/>
    </row>
    <row r="929" customFormat="false" ht="15.75" hidden="true" customHeight="false" outlineLevel="0" collapsed="false">
      <c r="X929" s="10"/>
      <c r="Y929" s="10"/>
      <c r="Z929" s="10"/>
    </row>
    <row r="930" customFormat="false" ht="15.75" hidden="true" customHeight="false" outlineLevel="0" collapsed="false">
      <c r="X930" s="10"/>
      <c r="Y930" s="10"/>
      <c r="Z930" s="10"/>
    </row>
    <row r="931" customFormat="false" ht="15.75" hidden="true" customHeight="false" outlineLevel="0" collapsed="false">
      <c r="X931" s="10"/>
      <c r="Y931" s="10"/>
      <c r="Z931" s="10"/>
    </row>
    <row r="932" customFormat="false" ht="15.75" hidden="true" customHeight="false" outlineLevel="0" collapsed="false">
      <c r="X932" s="10"/>
      <c r="Y932" s="10"/>
      <c r="Z932" s="10"/>
    </row>
    <row r="933" customFormat="false" ht="15.75" hidden="true" customHeight="false" outlineLevel="0" collapsed="false">
      <c r="X933" s="10"/>
      <c r="Y933" s="10"/>
      <c r="Z933" s="10"/>
    </row>
    <row r="934" customFormat="false" ht="15.75" hidden="true" customHeight="false" outlineLevel="0" collapsed="false">
      <c r="X934" s="10"/>
      <c r="Y934" s="10"/>
      <c r="Z934" s="10"/>
    </row>
    <row r="935" customFormat="false" ht="15.75" hidden="true" customHeight="false" outlineLevel="0" collapsed="false">
      <c r="X935" s="10"/>
      <c r="Y935" s="10"/>
      <c r="Z935" s="10"/>
    </row>
    <row r="936" customFormat="false" ht="15.75" hidden="true" customHeight="false" outlineLevel="0" collapsed="false">
      <c r="X936" s="10"/>
      <c r="Y936" s="10"/>
      <c r="Z936" s="10"/>
    </row>
    <row r="937" customFormat="false" ht="15.75" hidden="true" customHeight="false" outlineLevel="0" collapsed="false">
      <c r="X937" s="10"/>
      <c r="Y937" s="10"/>
      <c r="Z937" s="10"/>
    </row>
    <row r="938" customFormat="false" ht="15.75" hidden="true" customHeight="false" outlineLevel="0" collapsed="false">
      <c r="X938" s="10"/>
      <c r="Y938" s="10"/>
      <c r="Z938" s="10"/>
    </row>
    <row r="939" customFormat="false" ht="15.75" hidden="true" customHeight="false" outlineLevel="0" collapsed="false">
      <c r="X939" s="10"/>
      <c r="Y939" s="10"/>
      <c r="Z939" s="10"/>
    </row>
    <row r="940" customFormat="false" ht="15.75" hidden="true" customHeight="false" outlineLevel="0" collapsed="false">
      <c r="X940" s="10"/>
      <c r="Y940" s="10"/>
      <c r="Z940" s="10"/>
    </row>
    <row r="941" customFormat="false" ht="15.75" hidden="true" customHeight="false" outlineLevel="0" collapsed="false">
      <c r="X941" s="10"/>
      <c r="Y941" s="10"/>
      <c r="Z941" s="10"/>
    </row>
    <row r="942" customFormat="false" ht="15.75" hidden="true" customHeight="false" outlineLevel="0" collapsed="false">
      <c r="X942" s="10"/>
      <c r="Y942" s="10"/>
      <c r="Z942" s="10"/>
    </row>
    <row r="943" customFormat="false" ht="15.75" hidden="true" customHeight="false" outlineLevel="0" collapsed="false">
      <c r="X943" s="10"/>
      <c r="Y943" s="10"/>
      <c r="Z943" s="10"/>
    </row>
    <row r="944" customFormat="false" ht="15.75" hidden="true" customHeight="false" outlineLevel="0" collapsed="false">
      <c r="X944" s="10"/>
      <c r="Y944" s="10"/>
      <c r="Z944" s="10"/>
    </row>
    <row r="945" customFormat="false" ht="15.75" hidden="true" customHeight="false" outlineLevel="0" collapsed="false">
      <c r="X945" s="10"/>
      <c r="Y945" s="10"/>
      <c r="Z945" s="10"/>
    </row>
    <row r="946" customFormat="false" ht="15.75" hidden="true" customHeight="false" outlineLevel="0" collapsed="false">
      <c r="X946" s="10"/>
      <c r="Y946" s="10"/>
      <c r="Z946" s="10"/>
    </row>
    <row r="947" customFormat="false" ht="15.75" hidden="true" customHeight="false" outlineLevel="0" collapsed="false">
      <c r="X947" s="10"/>
      <c r="Y947" s="10"/>
      <c r="Z947" s="10"/>
    </row>
    <row r="948" customFormat="false" ht="15.75" hidden="true" customHeight="false" outlineLevel="0" collapsed="false">
      <c r="X948" s="10"/>
      <c r="Y948" s="10"/>
      <c r="Z948" s="10"/>
    </row>
    <row r="949" customFormat="false" ht="15.75" hidden="true" customHeight="false" outlineLevel="0" collapsed="false">
      <c r="X949" s="10"/>
      <c r="Y949" s="10"/>
      <c r="Z949" s="10"/>
    </row>
    <row r="950" customFormat="false" ht="15.75" hidden="true" customHeight="false" outlineLevel="0" collapsed="false">
      <c r="X950" s="10"/>
      <c r="Y950" s="10"/>
      <c r="Z950" s="10"/>
    </row>
    <row r="951" customFormat="false" ht="15.75" hidden="true" customHeight="false" outlineLevel="0" collapsed="false">
      <c r="X951" s="10"/>
      <c r="Y951" s="10"/>
      <c r="Z951" s="10"/>
    </row>
    <row r="952" customFormat="false" ht="15.75" hidden="true" customHeight="false" outlineLevel="0" collapsed="false">
      <c r="X952" s="10"/>
      <c r="Y952" s="10"/>
      <c r="Z952" s="10"/>
    </row>
    <row r="953" customFormat="false" ht="15.75" hidden="true" customHeight="false" outlineLevel="0" collapsed="false">
      <c r="X953" s="10"/>
      <c r="Y953" s="10"/>
      <c r="Z953" s="10"/>
    </row>
    <row r="954" customFormat="false" ht="15.75" hidden="true" customHeight="false" outlineLevel="0" collapsed="false">
      <c r="X954" s="10"/>
      <c r="Y954" s="10"/>
      <c r="Z954" s="10"/>
    </row>
    <row r="955" customFormat="false" ht="15.75" hidden="true" customHeight="false" outlineLevel="0" collapsed="false">
      <c r="X955" s="10"/>
      <c r="Y955" s="10"/>
      <c r="Z955" s="10"/>
    </row>
    <row r="956" customFormat="false" ht="15.75" hidden="true" customHeight="false" outlineLevel="0" collapsed="false">
      <c r="X956" s="10"/>
      <c r="Y956" s="10"/>
      <c r="Z956" s="10"/>
    </row>
    <row r="957" customFormat="false" ht="15.75" hidden="true" customHeight="false" outlineLevel="0" collapsed="false">
      <c r="X957" s="10"/>
      <c r="Y957" s="10"/>
      <c r="Z957" s="10"/>
    </row>
    <row r="958" customFormat="false" ht="15.75" hidden="true" customHeight="false" outlineLevel="0" collapsed="false">
      <c r="X958" s="10"/>
      <c r="Y958" s="10"/>
      <c r="Z958" s="10"/>
    </row>
    <row r="959" customFormat="false" ht="15.75" hidden="true" customHeight="false" outlineLevel="0" collapsed="false">
      <c r="X959" s="10"/>
      <c r="Y959" s="10"/>
      <c r="Z959" s="10"/>
    </row>
    <row r="960" customFormat="false" ht="15.75" hidden="true" customHeight="false" outlineLevel="0" collapsed="false">
      <c r="X960" s="10"/>
      <c r="Y960" s="10"/>
      <c r="Z960" s="10"/>
    </row>
    <row r="961" customFormat="false" ht="15.75" hidden="true" customHeight="false" outlineLevel="0" collapsed="false">
      <c r="X961" s="10"/>
      <c r="Y961" s="10"/>
      <c r="Z961" s="10"/>
    </row>
    <row r="962" customFormat="false" ht="15.75" hidden="true" customHeight="false" outlineLevel="0" collapsed="false">
      <c r="X962" s="10"/>
      <c r="Y962" s="10"/>
      <c r="Z962" s="10"/>
    </row>
    <row r="963" customFormat="false" ht="15.75" hidden="true" customHeight="false" outlineLevel="0" collapsed="false">
      <c r="X963" s="10"/>
      <c r="Y963" s="10"/>
      <c r="Z963" s="10"/>
    </row>
    <row r="964" customFormat="false" ht="15.75" hidden="true" customHeight="false" outlineLevel="0" collapsed="false">
      <c r="X964" s="10"/>
      <c r="Y964" s="10"/>
      <c r="Z964" s="10"/>
    </row>
    <row r="965" customFormat="false" ht="15.75" hidden="true" customHeight="false" outlineLevel="0" collapsed="false">
      <c r="X965" s="10"/>
      <c r="Y965" s="10"/>
      <c r="Z965" s="10"/>
    </row>
    <row r="966" customFormat="false" ht="15.75" hidden="true" customHeight="false" outlineLevel="0" collapsed="false">
      <c r="X966" s="10"/>
      <c r="Y966" s="10"/>
      <c r="Z966" s="10"/>
    </row>
    <row r="967" customFormat="false" ht="15.75" hidden="true" customHeight="false" outlineLevel="0" collapsed="false">
      <c r="X967" s="10"/>
      <c r="Y967" s="10"/>
      <c r="Z967" s="10"/>
    </row>
    <row r="968" customFormat="false" ht="15.75" hidden="true" customHeight="false" outlineLevel="0" collapsed="false">
      <c r="X968" s="10"/>
      <c r="Y968" s="10"/>
      <c r="Z968" s="10"/>
    </row>
    <row r="969" customFormat="false" ht="15.75" hidden="true" customHeight="false" outlineLevel="0" collapsed="false">
      <c r="X969" s="10"/>
      <c r="Y969" s="10"/>
      <c r="Z969" s="10"/>
    </row>
    <row r="970" customFormat="false" ht="15.75" hidden="true" customHeight="false" outlineLevel="0" collapsed="false">
      <c r="X970" s="10"/>
      <c r="Y970" s="10"/>
      <c r="Z970" s="10"/>
    </row>
    <row r="971" customFormat="false" ht="15.75" hidden="true" customHeight="false" outlineLevel="0" collapsed="false">
      <c r="X971" s="10"/>
      <c r="Y971" s="10"/>
      <c r="Z971" s="10"/>
    </row>
    <row r="972" customFormat="false" ht="15.75" hidden="true" customHeight="false" outlineLevel="0" collapsed="false">
      <c r="X972" s="10"/>
      <c r="Y972" s="10"/>
      <c r="Z972" s="10"/>
    </row>
    <row r="973" customFormat="false" ht="15.75" hidden="true" customHeight="false" outlineLevel="0" collapsed="false">
      <c r="X973" s="10"/>
      <c r="Y973" s="10"/>
      <c r="Z973" s="10"/>
    </row>
    <row r="974" customFormat="false" ht="15.75" hidden="true" customHeight="false" outlineLevel="0" collapsed="false">
      <c r="X974" s="10"/>
      <c r="Y974" s="10"/>
      <c r="Z974" s="10"/>
    </row>
    <row r="975" customFormat="false" ht="15.75" hidden="true" customHeight="false" outlineLevel="0" collapsed="false">
      <c r="X975" s="10"/>
      <c r="Y975" s="10"/>
      <c r="Z975" s="10"/>
    </row>
    <row r="976" customFormat="false" ht="15.75" hidden="true" customHeight="false" outlineLevel="0" collapsed="false">
      <c r="X976" s="10"/>
      <c r="Y976" s="10"/>
      <c r="Z976" s="10"/>
    </row>
    <row r="977" customFormat="false" ht="15.75" hidden="true" customHeight="false" outlineLevel="0" collapsed="false">
      <c r="X977" s="10"/>
      <c r="Y977" s="10"/>
      <c r="Z977" s="10"/>
    </row>
    <row r="978" customFormat="false" ht="15.75" hidden="true" customHeight="false" outlineLevel="0" collapsed="false">
      <c r="X978" s="10"/>
      <c r="Y978" s="10"/>
      <c r="Z978" s="10"/>
    </row>
    <row r="979" customFormat="false" ht="15.75" hidden="true" customHeight="false" outlineLevel="0" collapsed="false">
      <c r="X979" s="10"/>
      <c r="Y979" s="10"/>
      <c r="Z979" s="10"/>
    </row>
    <row r="980" customFormat="false" ht="15.75" hidden="true" customHeight="false" outlineLevel="0" collapsed="false">
      <c r="X980" s="10"/>
      <c r="Y980" s="10"/>
      <c r="Z980" s="10"/>
    </row>
    <row r="981" customFormat="false" ht="15.75" hidden="true" customHeight="false" outlineLevel="0" collapsed="false">
      <c r="X981" s="10"/>
      <c r="Y981" s="10"/>
      <c r="Z981" s="10"/>
    </row>
    <row r="982" customFormat="false" ht="15.75" hidden="true" customHeight="false" outlineLevel="0" collapsed="false">
      <c r="X982" s="10"/>
      <c r="Y982" s="10"/>
      <c r="Z982" s="10"/>
    </row>
    <row r="983" customFormat="false" ht="15.75" hidden="true" customHeight="false" outlineLevel="0" collapsed="false">
      <c r="X983" s="10"/>
      <c r="Y983" s="10"/>
      <c r="Z983" s="10"/>
    </row>
    <row r="984" customFormat="false" ht="15.75" hidden="true" customHeight="false" outlineLevel="0" collapsed="false">
      <c r="X984" s="10"/>
      <c r="Y984" s="10"/>
      <c r="Z984" s="10"/>
    </row>
    <row r="985" customFormat="false" ht="15.75" hidden="true" customHeight="false" outlineLevel="0" collapsed="false">
      <c r="X985" s="10"/>
      <c r="Y985" s="10"/>
      <c r="Z985" s="10"/>
    </row>
    <row r="986" customFormat="false" ht="15.75" hidden="true" customHeight="false" outlineLevel="0" collapsed="false">
      <c r="X986" s="10"/>
      <c r="Y986" s="10"/>
      <c r="Z986" s="10"/>
    </row>
    <row r="987" customFormat="false" ht="15.75" hidden="true" customHeight="false" outlineLevel="0" collapsed="false">
      <c r="X987" s="10"/>
      <c r="Y987" s="10"/>
      <c r="Z987" s="10"/>
    </row>
    <row r="988" customFormat="false" ht="15.75" hidden="true" customHeight="false" outlineLevel="0" collapsed="false">
      <c r="X988" s="10"/>
      <c r="Y988" s="10"/>
      <c r="Z988" s="10"/>
    </row>
    <row r="989" customFormat="false" ht="15.75" hidden="true" customHeight="false" outlineLevel="0" collapsed="false">
      <c r="X989" s="10"/>
      <c r="Y989" s="10"/>
      <c r="Z989" s="10"/>
    </row>
    <row r="990" customFormat="false" ht="15.75" hidden="true" customHeight="false" outlineLevel="0" collapsed="false">
      <c r="X990" s="10"/>
      <c r="Y990" s="10"/>
      <c r="Z990" s="10"/>
    </row>
    <row r="991" customFormat="false" ht="15.75" hidden="true" customHeight="false" outlineLevel="0" collapsed="false">
      <c r="X991" s="10"/>
      <c r="Y991" s="10"/>
      <c r="Z991" s="10"/>
    </row>
    <row r="992" customFormat="false" ht="15.75" hidden="true" customHeight="false" outlineLevel="0" collapsed="false">
      <c r="X992" s="10"/>
      <c r="Y992" s="10"/>
      <c r="Z992" s="10"/>
    </row>
    <row r="993" customFormat="false" ht="15.75" hidden="true" customHeight="false" outlineLevel="0" collapsed="false">
      <c r="X993" s="10"/>
      <c r="Y993" s="10"/>
      <c r="Z993" s="10"/>
    </row>
    <row r="994" customFormat="false" ht="15.75" hidden="true" customHeight="false" outlineLevel="0" collapsed="false">
      <c r="X994" s="10"/>
      <c r="Y994" s="10"/>
      <c r="Z994" s="10"/>
    </row>
    <row r="995" customFormat="false" ht="15.75" hidden="true" customHeight="false" outlineLevel="0" collapsed="false">
      <c r="X995" s="10"/>
      <c r="Y995" s="10"/>
      <c r="Z995" s="10"/>
    </row>
    <row r="996" customFormat="false" ht="15.75" hidden="true" customHeight="false" outlineLevel="0" collapsed="false">
      <c r="X996" s="10"/>
      <c r="Y996" s="10"/>
      <c r="Z996" s="10"/>
    </row>
    <row r="997" customFormat="false" ht="15.75" hidden="true" customHeight="false" outlineLevel="0" collapsed="false">
      <c r="X997" s="10"/>
      <c r="Y997" s="10"/>
      <c r="Z997" s="10"/>
    </row>
    <row r="998" customFormat="false" ht="15.75" hidden="true" customHeight="false" outlineLevel="0" collapsed="false">
      <c r="X998" s="10"/>
      <c r="Y998" s="10"/>
      <c r="Z998" s="10"/>
    </row>
    <row r="999" customFormat="false" ht="15.75" hidden="true" customHeight="false" outlineLevel="0" collapsed="false">
      <c r="X999" s="10"/>
      <c r="Y999" s="10"/>
      <c r="Z999" s="10"/>
    </row>
    <row r="1000" customFormat="false" ht="15.75" hidden="true" customHeight="false" outlineLevel="0" collapsed="false">
      <c r="X1000" s="10"/>
      <c r="Y1000" s="10"/>
      <c r="Z1000" s="10"/>
    </row>
    <row r="1001" customFormat="false" ht="15.75" hidden="true" customHeight="false" outlineLevel="0" collapsed="false">
      <c r="X1001" s="10"/>
      <c r="Y1001" s="10"/>
      <c r="Z1001" s="10"/>
    </row>
    <row r="1002" customFormat="false" ht="15.75" hidden="true" customHeight="false" outlineLevel="0" collapsed="false">
      <c r="X1002" s="10"/>
      <c r="Y1002" s="10"/>
      <c r="Z1002" s="10"/>
    </row>
    <row r="1003" customFormat="false" ht="15.75" hidden="true" customHeight="false" outlineLevel="0" collapsed="false">
      <c r="X1003" s="10"/>
      <c r="Y1003" s="10"/>
      <c r="Z1003" s="10"/>
    </row>
    <row r="1004" customFormat="false" ht="15.75" hidden="true" customHeight="false" outlineLevel="0" collapsed="false">
      <c r="X1004" s="10"/>
      <c r="Y1004" s="10"/>
      <c r="Z1004" s="10"/>
    </row>
    <row r="1005" customFormat="false" ht="15.75" hidden="true" customHeight="false" outlineLevel="0" collapsed="false">
      <c r="X1005" s="10"/>
      <c r="Y1005" s="10"/>
      <c r="Z1005" s="10"/>
    </row>
    <row r="1006" customFormat="false" ht="15.75" hidden="true" customHeight="false" outlineLevel="0" collapsed="false">
      <c r="X1006" s="10"/>
      <c r="Y1006" s="10"/>
      <c r="Z1006" s="10"/>
    </row>
    <row r="1007" customFormat="false" ht="15.75" hidden="true" customHeight="false" outlineLevel="0" collapsed="false">
      <c r="X1007" s="10"/>
      <c r="Y1007" s="10"/>
      <c r="Z1007" s="10"/>
    </row>
    <row r="1008" customFormat="false" ht="15.75" hidden="true" customHeight="false" outlineLevel="0" collapsed="false">
      <c r="X1008" s="10"/>
      <c r="Y1008" s="10"/>
      <c r="Z1008" s="10"/>
    </row>
    <row r="1009" customFormat="false" ht="15.75" hidden="true" customHeight="false" outlineLevel="0" collapsed="false">
      <c r="X1009" s="10"/>
      <c r="Y1009" s="10"/>
      <c r="Z1009" s="10"/>
    </row>
    <row r="1010" customFormat="false" ht="15.75" hidden="true" customHeight="false" outlineLevel="0" collapsed="false">
      <c r="X1010" s="10"/>
      <c r="Y1010" s="10"/>
      <c r="Z1010" s="10"/>
    </row>
    <row r="1011" customFormat="false" ht="15.75" hidden="true" customHeight="false" outlineLevel="0" collapsed="false">
      <c r="X1011" s="10"/>
      <c r="Y1011" s="10"/>
      <c r="Z1011" s="10"/>
    </row>
    <row r="1012" customFormat="false" ht="15.75" hidden="true" customHeight="false" outlineLevel="0" collapsed="false">
      <c r="X1012" s="10"/>
      <c r="Y1012" s="10"/>
      <c r="Z1012" s="10"/>
    </row>
    <row r="1013" customFormat="false" ht="15.75" hidden="true" customHeight="false" outlineLevel="0" collapsed="false">
      <c r="X1013" s="10"/>
      <c r="Y1013" s="10"/>
      <c r="Z1013" s="10"/>
    </row>
    <row r="1014" customFormat="false" ht="15.75" hidden="true" customHeight="false" outlineLevel="0" collapsed="false">
      <c r="X1014" s="10"/>
      <c r="Y1014" s="10"/>
      <c r="Z1014" s="10"/>
    </row>
    <row r="1015" customFormat="false" ht="15.75" hidden="true" customHeight="false" outlineLevel="0" collapsed="false">
      <c r="X1015" s="10"/>
      <c r="Y1015" s="10"/>
      <c r="Z1015" s="10"/>
    </row>
    <row r="1016" customFormat="false" ht="15.75" hidden="true" customHeight="false" outlineLevel="0" collapsed="false">
      <c r="X1016" s="10"/>
      <c r="Y1016" s="10"/>
      <c r="Z1016" s="10"/>
    </row>
    <row r="1017" customFormat="false" ht="15.75" hidden="true" customHeight="false" outlineLevel="0" collapsed="false">
      <c r="X1017" s="10"/>
      <c r="Y1017" s="10"/>
      <c r="Z1017" s="10"/>
    </row>
    <row r="1018" customFormat="false" ht="15.75" hidden="true" customHeight="false" outlineLevel="0" collapsed="false">
      <c r="X1018" s="10"/>
      <c r="Y1018" s="10"/>
      <c r="Z1018" s="10"/>
    </row>
    <row r="1019" customFormat="false" ht="15.75" hidden="true" customHeight="false" outlineLevel="0" collapsed="false">
      <c r="X1019" s="10"/>
      <c r="Y1019" s="10"/>
      <c r="Z1019" s="10"/>
    </row>
    <row r="1020" customFormat="false" ht="15.75" hidden="true" customHeight="false" outlineLevel="0" collapsed="false">
      <c r="X1020" s="10"/>
      <c r="Y1020" s="10"/>
      <c r="Z1020" s="10"/>
    </row>
    <row r="1021" customFormat="false" ht="15.75" hidden="true" customHeight="false" outlineLevel="0" collapsed="false">
      <c r="X1021" s="10"/>
      <c r="Y1021" s="10"/>
      <c r="Z1021" s="10"/>
    </row>
    <row r="1022" customFormat="false" ht="15.75" hidden="true" customHeight="false" outlineLevel="0" collapsed="false">
      <c r="X1022" s="10"/>
      <c r="Y1022" s="10"/>
      <c r="Z1022" s="10"/>
    </row>
    <row r="1023" customFormat="false" ht="15.75" hidden="true" customHeight="false" outlineLevel="0" collapsed="false">
      <c r="X1023" s="10"/>
      <c r="Y1023" s="10"/>
      <c r="Z1023" s="10"/>
    </row>
    <row r="1024" customFormat="false" ht="15.75" hidden="true" customHeight="false" outlineLevel="0" collapsed="false">
      <c r="X1024" s="10"/>
      <c r="Y1024" s="10"/>
      <c r="Z1024" s="10"/>
    </row>
    <row r="1025" customFormat="false" ht="15.75" hidden="true" customHeight="false" outlineLevel="0" collapsed="false">
      <c r="X1025" s="10"/>
      <c r="Y1025" s="10"/>
      <c r="Z1025" s="10"/>
    </row>
    <row r="1026" customFormat="false" ht="15.75" hidden="true" customHeight="false" outlineLevel="0" collapsed="false">
      <c r="X1026" s="10"/>
      <c r="Y1026" s="10"/>
      <c r="Z1026" s="10"/>
    </row>
    <row r="1027" customFormat="false" ht="15.75" hidden="true" customHeight="false" outlineLevel="0" collapsed="false">
      <c r="X1027" s="10"/>
      <c r="Y1027" s="10"/>
      <c r="Z1027" s="10"/>
    </row>
    <row r="1028" customFormat="false" ht="15.75" hidden="true" customHeight="false" outlineLevel="0" collapsed="false">
      <c r="X1028" s="10"/>
      <c r="Y1028" s="10"/>
      <c r="Z1028" s="10"/>
    </row>
    <row r="1029" customFormat="false" ht="15.75" hidden="true" customHeight="false" outlineLevel="0" collapsed="false">
      <c r="X1029" s="10"/>
      <c r="Y1029" s="10"/>
      <c r="Z1029" s="10"/>
    </row>
    <row r="1030" customFormat="false" ht="15.75" hidden="true" customHeight="false" outlineLevel="0" collapsed="false">
      <c r="X1030" s="10"/>
      <c r="Y1030" s="10"/>
      <c r="Z1030" s="10"/>
    </row>
    <row r="1031" customFormat="false" ht="15.75" hidden="true" customHeight="false" outlineLevel="0" collapsed="false">
      <c r="X1031" s="10"/>
      <c r="Y1031" s="10"/>
      <c r="Z1031" s="10"/>
    </row>
    <row r="1032" customFormat="false" ht="15.75" hidden="true" customHeight="false" outlineLevel="0" collapsed="false">
      <c r="X1032" s="10"/>
      <c r="Y1032" s="10"/>
      <c r="Z1032" s="10"/>
    </row>
    <row r="1033" customFormat="false" ht="15.75" hidden="true" customHeight="false" outlineLevel="0" collapsed="false">
      <c r="X1033" s="10"/>
      <c r="Y1033" s="10"/>
      <c r="Z1033" s="10"/>
    </row>
    <row r="1034" customFormat="false" ht="15.75" hidden="true" customHeight="false" outlineLevel="0" collapsed="false">
      <c r="X1034" s="10"/>
      <c r="Y1034" s="10"/>
      <c r="Z1034" s="10"/>
    </row>
    <row r="1035" customFormat="false" ht="15.75" hidden="true" customHeight="false" outlineLevel="0" collapsed="false">
      <c r="X1035" s="10"/>
      <c r="Y1035" s="10"/>
      <c r="Z1035" s="10"/>
    </row>
    <row r="1036" customFormat="false" ht="15.75" hidden="true" customHeight="false" outlineLevel="0" collapsed="false">
      <c r="X1036" s="10"/>
      <c r="Y1036" s="10"/>
      <c r="Z1036" s="10"/>
    </row>
    <row r="1037" customFormat="false" ht="15.75" hidden="true" customHeight="false" outlineLevel="0" collapsed="false">
      <c r="X1037" s="10"/>
      <c r="Y1037" s="10"/>
      <c r="Z1037" s="10"/>
    </row>
    <row r="1038" customFormat="false" ht="15.75" hidden="true" customHeight="false" outlineLevel="0" collapsed="false">
      <c r="X1038" s="10"/>
      <c r="Y1038" s="10"/>
      <c r="Z1038" s="10"/>
    </row>
    <row r="1039" customFormat="false" ht="15.75" hidden="true" customHeight="false" outlineLevel="0" collapsed="false">
      <c r="X1039" s="10"/>
      <c r="Y1039" s="10"/>
      <c r="Z1039" s="10"/>
    </row>
    <row r="1040" customFormat="false" ht="15.75" hidden="true" customHeight="false" outlineLevel="0" collapsed="false">
      <c r="X1040" s="10"/>
      <c r="Y1040" s="10"/>
      <c r="Z1040" s="10"/>
    </row>
    <row r="1041" customFormat="false" ht="15.75" hidden="true" customHeight="false" outlineLevel="0" collapsed="false">
      <c r="X1041" s="10"/>
      <c r="Y1041" s="10"/>
      <c r="Z1041" s="10"/>
    </row>
    <row r="1042" customFormat="false" ht="15.75" hidden="true" customHeight="false" outlineLevel="0" collapsed="false">
      <c r="X1042" s="10"/>
      <c r="Y1042" s="10"/>
      <c r="Z1042" s="10"/>
    </row>
    <row r="1043" customFormat="false" ht="15.75" hidden="true" customHeight="false" outlineLevel="0" collapsed="false">
      <c r="X1043" s="10"/>
      <c r="Y1043" s="10"/>
      <c r="Z1043" s="10"/>
    </row>
    <row r="1044" customFormat="false" ht="15.75" hidden="true" customHeight="false" outlineLevel="0" collapsed="false">
      <c r="X1044" s="10"/>
      <c r="Y1044" s="10"/>
      <c r="Z1044" s="10"/>
    </row>
    <row r="1045" customFormat="false" ht="15.75" hidden="true" customHeight="false" outlineLevel="0" collapsed="false">
      <c r="X1045" s="10"/>
      <c r="Y1045" s="10"/>
      <c r="Z1045" s="10"/>
    </row>
    <row r="1046" customFormat="false" ht="15.75" hidden="true" customHeight="false" outlineLevel="0" collapsed="false">
      <c r="X1046" s="10"/>
      <c r="Y1046" s="10"/>
      <c r="Z1046" s="10"/>
    </row>
    <row r="1047" customFormat="false" ht="15.75" hidden="true" customHeight="false" outlineLevel="0" collapsed="false">
      <c r="X1047" s="10"/>
      <c r="Y1047" s="10"/>
      <c r="Z1047" s="10"/>
    </row>
    <row r="1048" customFormat="false" ht="15.75" hidden="true" customHeight="false" outlineLevel="0" collapsed="false">
      <c r="X1048" s="10"/>
      <c r="Y1048" s="10"/>
      <c r="Z1048" s="10"/>
    </row>
    <row r="1049" customFormat="false" ht="15.75" hidden="true" customHeight="false" outlineLevel="0" collapsed="false">
      <c r="X1049" s="10"/>
      <c r="Y1049" s="10"/>
      <c r="Z1049" s="10"/>
    </row>
    <row r="1050" customFormat="false" ht="15.75" hidden="true" customHeight="false" outlineLevel="0" collapsed="false">
      <c r="X1050" s="10"/>
      <c r="Y1050" s="10"/>
      <c r="Z1050" s="10"/>
    </row>
    <row r="1051" customFormat="false" ht="15.75" hidden="true" customHeight="false" outlineLevel="0" collapsed="false">
      <c r="X1051" s="10"/>
      <c r="Y1051" s="10"/>
      <c r="Z1051" s="10"/>
    </row>
    <row r="1052" customFormat="false" ht="15.75" hidden="true" customHeight="false" outlineLevel="0" collapsed="false">
      <c r="X1052" s="10"/>
      <c r="Y1052" s="10"/>
      <c r="Z1052" s="10"/>
    </row>
    <row r="1053" customFormat="false" ht="15.75" hidden="true" customHeight="false" outlineLevel="0" collapsed="false">
      <c r="X1053" s="10"/>
      <c r="Y1053" s="10"/>
      <c r="Z1053" s="10"/>
    </row>
    <row r="1054" customFormat="false" ht="15.75" hidden="true" customHeight="false" outlineLevel="0" collapsed="false">
      <c r="X1054" s="10"/>
      <c r="Y1054" s="10"/>
      <c r="Z1054" s="10"/>
    </row>
    <row r="1055" customFormat="false" ht="15.75" hidden="true" customHeight="false" outlineLevel="0" collapsed="false">
      <c r="X1055" s="10"/>
      <c r="Y1055" s="10"/>
      <c r="Z1055" s="10"/>
    </row>
    <row r="1056" customFormat="false" ht="15.75" hidden="true" customHeight="false" outlineLevel="0" collapsed="false">
      <c r="X1056" s="10"/>
      <c r="Y1056" s="10"/>
      <c r="Z1056" s="10"/>
    </row>
    <row r="1057" customFormat="false" ht="15.75" hidden="true" customHeight="false" outlineLevel="0" collapsed="false">
      <c r="X1057" s="10"/>
      <c r="Y1057" s="10"/>
      <c r="Z1057" s="10"/>
    </row>
    <row r="1058" customFormat="false" ht="15.75" hidden="true" customHeight="false" outlineLevel="0" collapsed="false">
      <c r="X1058" s="10"/>
      <c r="Y1058" s="10"/>
      <c r="Z1058" s="10"/>
    </row>
    <row r="1059" customFormat="false" ht="15.75" hidden="true" customHeight="false" outlineLevel="0" collapsed="false">
      <c r="X1059" s="10"/>
      <c r="Y1059" s="10"/>
      <c r="Z1059" s="10"/>
    </row>
    <row r="1060" customFormat="false" ht="15.75" hidden="true" customHeight="false" outlineLevel="0" collapsed="false">
      <c r="X1060" s="10"/>
      <c r="Y1060" s="10"/>
      <c r="Z1060" s="10"/>
    </row>
    <row r="1061" customFormat="false" ht="15.75" hidden="true" customHeight="false" outlineLevel="0" collapsed="false">
      <c r="X1061" s="10"/>
      <c r="Y1061" s="10"/>
      <c r="Z1061" s="10"/>
    </row>
    <row r="1062" customFormat="false" ht="15.75" hidden="true" customHeight="false" outlineLevel="0" collapsed="false">
      <c r="X1062" s="10"/>
      <c r="Y1062" s="10"/>
      <c r="Z1062" s="10"/>
    </row>
    <row r="1063" customFormat="false" ht="15.75" hidden="true" customHeight="false" outlineLevel="0" collapsed="false">
      <c r="X1063" s="10"/>
      <c r="Y1063" s="10"/>
      <c r="Z1063" s="10"/>
    </row>
    <row r="1064" customFormat="false" ht="15.75" hidden="true" customHeight="false" outlineLevel="0" collapsed="false">
      <c r="X1064" s="10"/>
      <c r="Y1064" s="10"/>
      <c r="Z1064" s="10"/>
    </row>
    <row r="1065" customFormat="false" ht="15.75" hidden="true" customHeight="false" outlineLevel="0" collapsed="false">
      <c r="X1065" s="10"/>
      <c r="Y1065" s="10"/>
      <c r="Z1065" s="10"/>
    </row>
    <row r="1066" customFormat="false" ht="15.75" hidden="true" customHeight="false" outlineLevel="0" collapsed="false">
      <c r="X1066" s="10"/>
      <c r="Y1066" s="10"/>
      <c r="Z1066" s="10"/>
    </row>
    <row r="1067" customFormat="false" ht="15.75" hidden="true" customHeight="false" outlineLevel="0" collapsed="false">
      <c r="X1067" s="10"/>
      <c r="Y1067" s="10"/>
      <c r="Z1067" s="10"/>
    </row>
    <row r="1068" customFormat="false" ht="15.75" hidden="true" customHeight="false" outlineLevel="0" collapsed="false">
      <c r="X1068" s="10"/>
      <c r="Y1068" s="10"/>
      <c r="Z1068" s="10"/>
    </row>
    <row r="1069" customFormat="false" ht="15.75" hidden="true" customHeight="false" outlineLevel="0" collapsed="false">
      <c r="X1069" s="10"/>
      <c r="Y1069" s="10"/>
      <c r="Z1069" s="10"/>
    </row>
    <row r="1070" customFormat="false" ht="15.75" hidden="true" customHeight="false" outlineLevel="0" collapsed="false">
      <c r="X1070" s="10"/>
      <c r="Y1070" s="10"/>
      <c r="Z1070" s="10"/>
    </row>
    <row r="1071" customFormat="false" ht="15.75" hidden="true" customHeight="false" outlineLevel="0" collapsed="false">
      <c r="X1071" s="10"/>
      <c r="Y1071" s="10"/>
      <c r="Z1071" s="10"/>
    </row>
    <row r="1072" customFormat="false" ht="15.75" hidden="true" customHeight="false" outlineLevel="0" collapsed="false">
      <c r="X1072" s="10"/>
      <c r="Y1072" s="10"/>
      <c r="Z1072" s="10"/>
    </row>
    <row r="1073" customFormat="false" ht="15.75" hidden="true" customHeight="false" outlineLevel="0" collapsed="false">
      <c r="X1073" s="10"/>
      <c r="Y1073" s="10"/>
      <c r="Z1073" s="10"/>
    </row>
    <row r="1074" customFormat="false" ht="15.75" hidden="true" customHeight="false" outlineLevel="0" collapsed="false">
      <c r="X1074" s="10"/>
      <c r="Y1074" s="10"/>
      <c r="Z1074" s="10"/>
    </row>
    <row r="1075" customFormat="false" ht="15.75" hidden="true" customHeight="false" outlineLevel="0" collapsed="false">
      <c r="X1075" s="10"/>
      <c r="Y1075" s="10"/>
      <c r="Z1075" s="10"/>
    </row>
    <row r="1076" customFormat="false" ht="15.75" hidden="true" customHeight="false" outlineLevel="0" collapsed="false">
      <c r="X1076" s="10"/>
      <c r="Y1076" s="10"/>
      <c r="Z1076" s="10"/>
    </row>
    <row r="1077" customFormat="false" ht="15.75" hidden="true" customHeight="false" outlineLevel="0" collapsed="false">
      <c r="X1077" s="10"/>
      <c r="Y1077" s="10"/>
      <c r="Z1077" s="10"/>
    </row>
    <row r="1078" customFormat="false" ht="15.75" hidden="true" customHeight="false" outlineLevel="0" collapsed="false">
      <c r="X1078" s="10"/>
      <c r="Y1078" s="10"/>
      <c r="Z1078" s="10"/>
    </row>
    <row r="1079" customFormat="false" ht="15.75" hidden="true" customHeight="false" outlineLevel="0" collapsed="false">
      <c r="X1079" s="10"/>
      <c r="Y1079" s="10"/>
      <c r="Z1079" s="10"/>
    </row>
    <row r="1080" customFormat="false" ht="15.75" hidden="true" customHeight="false" outlineLevel="0" collapsed="false">
      <c r="X1080" s="10"/>
      <c r="Y1080" s="10"/>
      <c r="Z1080" s="10"/>
    </row>
    <row r="1081" customFormat="false" ht="15.75" hidden="true" customHeight="false" outlineLevel="0" collapsed="false">
      <c r="X1081" s="10"/>
      <c r="Y1081" s="10"/>
      <c r="Z1081" s="10"/>
    </row>
    <row r="1082" customFormat="false" ht="15.75" hidden="true" customHeight="false" outlineLevel="0" collapsed="false">
      <c r="X1082" s="10"/>
      <c r="Y1082" s="10"/>
      <c r="Z1082" s="10"/>
    </row>
    <row r="1083" customFormat="false" ht="15.75" hidden="true" customHeight="false" outlineLevel="0" collapsed="false">
      <c r="X1083" s="10"/>
      <c r="Y1083" s="10"/>
      <c r="Z1083" s="10"/>
    </row>
    <row r="1084" customFormat="false" ht="15.75" hidden="true" customHeight="false" outlineLevel="0" collapsed="false">
      <c r="X1084" s="10"/>
      <c r="Y1084" s="10"/>
      <c r="Z1084" s="10"/>
    </row>
    <row r="1085" customFormat="false" ht="15.75" hidden="true" customHeight="false" outlineLevel="0" collapsed="false">
      <c r="X1085" s="10"/>
      <c r="Y1085" s="10"/>
      <c r="Z1085" s="10"/>
    </row>
    <row r="1086" customFormat="false" ht="15.75" hidden="true" customHeight="false" outlineLevel="0" collapsed="false">
      <c r="X1086" s="10"/>
      <c r="Y1086" s="10"/>
      <c r="Z1086" s="10"/>
    </row>
    <row r="1087" customFormat="false" ht="15.75" hidden="true" customHeight="false" outlineLevel="0" collapsed="false">
      <c r="X1087" s="10"/>
      <c r="Y1087" s="10"/>
      <c r="Z1087" s="10"/>
    </row>
    <row r="1088" customFormat="false" ht="15.75" hidden="true" customHeight="false" outlineLevel="0" collapsed="false">
      <c r="X1088" s="10"/>
      <c r="Y1088" s="10"/>
      <c r="Z1088" s="10"/>
    </row>
    <row r="1089" customFormat="false" ht="15.75" hidden="true" customHeight="false" outlineLevel="0" collapsed="false">
      <c r="X1089" s="10"/>
      <c r="Y1089" s="10"/>
      <c r="Z1089" s="10"/>
    </row>
    <row r="1090" customFormat="false" ht="15.75" hidden="true" customHeight="false" outlineLevel="0" collapsed="false">
      <c r="X1090" s="10"/>
      <c r="Y1090" s="10"/>
      <c r="Z1090" s="10"/>
    </row>
    <row r="1091" customFormat="false" ht="15.75" hidden="true" customHeight="false" outlineLevel="0" collapsed="false">
      <c r="X1091" s="10"/>
      <c r="Y1091" s="10"/>
      <c r="Z1091" s="10"/>
    </row>
    <row r="1092" customFormat="false" ht="15.75" hidden="true" customHeight="false" outlineLevel="0" collapsed="false">
      <c r="X1092" s="10"/>
      <c r="Y1092" s="10"/>
      <c r="Z1092" s="10"/>
    </row>
    <row r="1093" customFormat="false" ht="15.75" hidden="true" customHeight="false" outlineLevel="0" collapsed="false">
      <c r="X1093" s="10"/>
      <c r="Y1093" s="10"/>
      <c r="Z1093" s="10"/>
    </row>
    <row r="1094" customFormat="false" ht="15.75" hidden="true" customHeight="false" outlineLevel="0" collapsed="false">
      <c r="X1094" s="10"/>
      <c r="Y1094" s="10"/>
      <c r="Z1094" s="10"/>
    </row>
    <row r="1095" customFormat="false" ht="15.75" hidden="true" customHeight="false" outlineLevel="0" collapsed="false">
      <c r="X1095" s="10"/>
      <c r="Y1095" s="10"/>
      <c r="Z1095" s="10"/>
    </row>
    <row r="1096" customFormat="false" ht="15.75" hidden="true" customHeight="false" outlineLevel="0" collapsed="false">
      <c r="X1096" s="10"/>
      <c r="Y1096" s="10"/>
      <c r="Z1096" s="10"/>
    </row>
    <row r="1097" customFormat="false" ht="15.75" hidden="true" customHeight="false" outlineLevel="0" collapsed="false">
      <c r="X1097" s="10"/>
      <c r="Y1097" s="10"/>
      <c r="Z1097" s="10"/>
    </row>
    <row r="1098" customFormat="false" ht="15.75" hidden="true" customHeight="false" outlineLevel="0" collapsed="false">
      <c r="X1098" s="10"/>
      <c r="Y1098" s="10"/>
      <c r="Z1098" s="10"/>
    </row>
    <row r="1099" customFormat="false" ht="15.75" hidden="true" customHeight="false" outlineLevel="0" collapsed="false">
      <c r="X1099" s="10"/>
      <c r="Y1099" s="10"/>
      <c r="Z1099" s="10"/>
    </row>
    <row r="1100" customFormat="false" ht="15.75" hidden="true" customHeight="false" outlineLevel="0" collapsed="false">
      <c r="X1100" s="10"/>
      <c r="Y1100" s="10"/>
      <c r="Z1100" s="10"/>
    </row>
    <row r="1101" customFormat="false" ht="15.75" hidden="true" customHeight="false" outlineLevel="0" collapsed="false">
      <c r="X1101" s="10"/>
      <c r="Y1101" s="10"/>
      <c r="Z1101" s="10"/>
    </row>
    <row r="1102" customFormat="false" ht="15.75" hidden="true" customHeight="false" outlineLevel="0" collapsed="false">
      <c r="X1102" s="10"/>
      <c r="Y1102" s="10"/>
      <c r="Z1102" s="10"/>
    </row>
    <row r="1103" customFormat="false" ht="15.75" hidden="true" customHeight="false" outlineLevel="0" collapsed="false">
      <c r="X1103" s="10"/>
      <c r="Y1103" s="10"/>
      <c r="Z1103" s="10"/>
    </row>
    <row r="1104" customFormat="false" ht="15.75" hidden="true" customHeight="false" outlineLevel="0" collapsed="false">
      <c r="X1104" s="10"/>
      <c r="Y1104" s="10"/>
      <c r="Z1104" s="10"/>
    </row>
    <row r="1105" customFormat="false" ht="15.75" hidden="true" customHeight="false" outlineLevel="0" collapsed="false">
      <c r="X1105" s="10"/>
      <c r="Y1105" s="10"/>
      <c r="Z1105" s="10"/>
    </row>
    <row r="1106" customFormat="false" ht="15.75" hidden="true" customHeight="false" outlineLevel="0" collapsed="false">
      <c r="X1106" s="10"/>
      <c r="Y1106" s="10"/>
      <c r="Z1106" s="10"/>
    </row>
    <row r="1107" customFormat="false" ht="15.75" hidden="true" customHeight="false" outlineLevel="0" collapsed="false">
      <c r="X1107" s="10"/>
      <c r="Y1107" s="10"/>
      <c r="Z1107" s="10"/>
    </row>
    <row r="1108" customFormat="false" ht="15.75" hidden="true" customHeight="false" outlineLevel="0" collapsed="false">
      <c r="X1108" s="10"/>
      <c r="Y1108" s="10"/>
      <c r="Z1108" s="10"/>
    </row>
    <row r="1109" customFormat="false" ht="15.75" hidden="true" customHeight="false" outlineLevel="0" collapsed="false">
      <c r="X1109" s="10"/>
      <c r="Y1109" s="10"/>
      <c r="Z1109" s="10"/>
    </row>
    <row r="1110" customFormat="false" ht="15.75" hidden="true" customHeight="false" outlineLevel="0" collapsed="false">
      <c r="X1110" s="10"/>
      <c r="Y1110" s="10"/>
      <c r="Z1110" s="10"/>
    </row>
    <row r="1111" customFormat="false" ht="15.75" hidden="true" customHeight="false" outlineLevel="0" collapsed="false">
      <c r="X1111" s="10"/>
      <c r="Y1111" s="10"/>
      <c r="Z1111" s="10"/>
    </row>
    <row r="1112" customFormat="false" ht="15.75" hidden="true" customHeight="false" outlineLevel="0" collapsed="false">
      <c r="X1112" s="10"/>
      <c r="Y1112" s="10"/>
      <c r="Z1112" s="10"/>
    </row>
    <row r="1113" customFormat="false" ht="15.75" hidden="true" customHeight="false" outlineLevel="0" collapsed="false">
      <c r="X1113" s="10"/>
      <c r="Y1113" s="10"/>
      <c r="Z1113" s="10"/>
    </row>
    <row r="1114" customFormat="false" ht="15.75" hidden="true" customHeight="false" outlineLevel="0" collapsed="false">
      <c r="X1114" s="10"/>
      <c r="Y1114" s="10"/>
      <c r="Z1114" s="10"/>
    </row>
    <row r="1115" customFormat="false" ht="15.75" hidden="true" customHeight="false" outlineLevel="0" collapsed="false">
      <c r="X1115" s="10"/>
      <c r="Y1115" s="10"/>
      <c r="Z1115" s="10"/>
    </row>
    <row r="1116" customFormat="false" ht="15.75" hidden="true" customHeight="false" outlineLevel="0" collapsed="false">
      <c r="X1116" s="10"/>
      <c r="Y1116" s="10"/>
      <c r="Z1116" s="10"/>
    </row>
    <row r="1117" customFormat="false" ht="15.75" hidden="true" customHeight="false" outlineLevel="0" collapsed="false">
      <c r="X1117" s="10"/>
      <c r="Y1117" s="10"/>
      <c r="Z1117" s="10"/>
    </row>
    <row r="1118" customFormat="false" ht="15.75" hidden="true" customHeight="false" outlineLevel="0" collapsed="false">
      <c r="X1118" s="10"/>
      <c r="Y1118" s="10"/>
      <c r="Z1118" s="10"/>
    </row>
    <row r="1119" customFormat="false" ht="15.75" hidden="true" customHeight="false" outlineLevel="0" collapsed="false">
      <c r="X1119" s="10"/>
      <c r="Y1119" s="10"/>
      <c r="Z1119" s="10"/>
    </row>
    <row r="1120" customFormat="false" ht="15.75" hidden="true" customHeight="false" outlineLevel="0" collapsed="false">
      <c r="X1120" s="10"/>
      <c r="Y1120" s="10"/>
      <c r="Z1120" s="10"/>
    </row>
    <row r="1121" customFormat="false" ht="15.75" hidden="true" customHeight="false" outlineLevel="0" collapsed="false">
      <c r="X1121" s="10"/>
      <c r="Y1121" s="10"/>
      <c r="Z1121" s="10"/>
    </row>
    <row r="1122" customFormat="false" ht="15.75" hidden="true" customHeight="false" outlineLevel="0" collapsed="false">
      <c r="X1122" s="10"/>
      <c r="Y1122" s="10"/>
      <c r="Z1122" s="10"/>
    </row>
    <row r="1123" customFormat="false" ht="15.75" hidden="true" customHeight="false" outlineLevel="0" collapsed="false">
      <c r="X1123" s="10"/>
      <c r="Y1123" s="10"/>
      <c r="Z1123" s="10"/>
    </row>
    <row r="1124" customFormat="false" ht="15.75" hidden="true" customHeight="false" outlineLevel="0" collapsed="false">
      <c r="X1124" s="10"/>
      <c r="Y1124" s="10"/>
      <c r="Z1124" s="10"/>
    </row>
    <row r="1125" customFormat="false" ht="15.75" hidden="true" customHeight="false" outlineLevel="0" collapsed="false">
      <c r="X1125" s="10"/>
      <c r="Y1125" s="10"/>
      <c r="Z1125" s="10"/>
    </row>
    <row r="1126" customFormat="false" ht="15.75" hidden="true" customHeight="false" outlineLevel="0" collapsed="false">
      <c r="X1126" s="10"/>
      <c r="Y1126" s="10"/>
      <c r="Z1126" s="10"/>
    </row>
    <row r="1127" customFormat="false" ht="15.75" hidden="true" customHeight="false" outlineLevel="0" collapsed="false">
      <c r="X1127" s="10"/>
      <c r="Y1127" s="10"/>
      <c r="Z1127" s="10"/>
    </row>
    <row r="1128" customFormat="false" ht="15.75" hidden="true" customHeight="false" outlineLevel="0" collapsed="false">
      <c r="X1128" s="10"/>
      <c r="Y1128" s="10"/>
      <c r="Z1128" s="10"/>
    </row>
    <row r="1129" customFormat="false" ht="15.75" hidden="true" customHeight="false" outlineLevel="0" collapsed="false">
      <c r="X1129" s="10"/>
      <c r="Y1129" s="10"/>
      <c r="Z1129" s="10"/>
    </row>
    <row r="1130" customFormat="false" ht="15.75" hidden="true" customHeight="false" outlineLevel="0" collapsed="false">
      <c r="X1130" s="10"/>
      <c r="Y1130" s="10"/>
      <c r="Z1130" s="10"/>
    </row>
    <row r="1131" customFormat="false" ht="15.75" hidden="true" customHeight="false" outlineLevel="0" collapsed="false">
      <c r="X1131" s="10"/>
      <c r="Y1131" s="10"/>
      <c r="Z1131" s="10"/>
    </row>
    <row r="1132" customFormat="false" ht="15.75" hidden="true" customHeight="false" outlineLevel="0" collapsed="false">
      <c r="X1132" s="10"/>
      <c r="Y1132" s="10"/>
      <c r="Z1132" s="10"/>
    </row>
    <row r="1133" customFormat="false" ht="15.75" hidden="true" customHeight="false" outlineLevel="0" collapsed="false">
      <c r="X1133" s="10"/>
      <c r="Y1133" s="10"/>
      <c r="Z1133" s="10"/>
    </row>
    <row r="1134" customFormat="false" ht="15.75" hidden="true" customHeight="false" outlineLevel="0" collapsed="false">
      <c r="X1134" s="10"/>
      <c r="Y1134" s="10"/>
      <c r="Z1134" s="10"/>
    </row>
    <row r="1135" customFormat="false" ht="15.75" hidden="true" customHeight="false" outlineLevel="0" collapsed="false">
      <c r="X1135" s="10"/>
      <c r="Y1135" s="10"/>
      <c r="Z1135" s="10"/>
    </row>
    <row r="1136" customFormat="false" ht="15.75" hidden="true" customHeight="false" outlineLevel="0" collapsed="false">
      <c r="X1136" s="10"/>
      <c r="Y1136" s="10"/>
      <c r="Z1136" s="10"/>
    </row>
    <row r="1137" customFormat="false" ht="15.75" hidden="true" customHeight="false" outlineLevel="0" collapsed="false">
      <c r="X1137" s="10"/>
      <c r="Y1137" s="10"/>
      <c r="Z1137" s="10"/>
    </row>
    <row r="1138" customFormat="false" ht="15.75" hidden="true" customHeight="false" outlineLevel="0" collapsed="false">
      <c r="X1138" s="10"/>
      <c r="Y1138" s="10"/>
      <c r="Z1138" s="10"/>
    </row>
    <row r="1139" customFormat="false" ht="15.75" hidden="true" customHeight="false" outlineLevel="0" collapsed="false">
      <c r="X1139" s="10"/>
      <c r="Y1139" s="10"/>
      <c r="Z1139" s="10"/>
    </row>
    <row r="1140" customFormat="false" ht="15.75" hidden="true" customHeight="false" outlineLevel="0" collapsed="false">
      <c r="X1140" s="10"/>
      <c r="Y1140" s="10"/>
      <c r="Z1140" s="10"/>
    </row>
    <row r="1141" customFormat="false" ht="15.75" hidden="true" customHeight="false" outlineLevel="0" collapsed="false">
      <c r="X1141" s="10"/>
      <c r="Y1141" s="10"/>
      <c r="Z1141" s="10"/>
    </row>
    <row r="1142" customFormat="false" ht="15.75" hidden="true" customHeight="false" outlineLevel="0" collapsed="false">
      <c r="X1142" s="10"/>
      <c r="Y1142" s="10"/>
      <c r="Z1142" s="10"/>
    </row>
    <row r="1143" customFormat="false" ht="15.75" hidden="true" customHeight="false" outlineLevel="0" collapsed="false">
      <c r="X1143" s="10"/>
      <c r="Y1143" s="10"/>
      <c r="Z1143" s="10"/>
    </row>
    <row r="1144" customFormat="false" ht="15.75" hidden="true" customHeight="false" outlineLevel="0" collapsed="false">
      <c r="X1144" s="10"/>
      <c r="Y1144" s="10"/>
      <c r="Z1144" s="10"/>
    </row>
    <row r="1145" customFormat="false" ht="15.75" hidden="true" customHeight="false" outlineLevel="0" collapsed="false">
      <c r="X1145" s="10"/>
      <c r="Y1145" s="10"/>
      <c r="Z1145" s="10"/>
    </row>
    <row r="1146" customFormat="false" ht="15.75" hidden="true" customHeight="false" outlineLevel="0" collapsed="false">
      <c r="X1146" s="10"/>
      <c r="Y1146" s="10"/>
      <c r="Z1146" s="10"/>
    </row>
    <row r="1147" customFormat="false" ht="15.75" hidden="true" customHeight="false" outlineLevel="0" collapsed="false">
      <c r="X1147" s="10"/>
      <c r="Y1147" s="10"/>
      <c r="Z1147" s="10"/>
    </row>
    <row r="1148" customFormat="false" ht="15.75" hidden="true" customHeight="false" outlineLevel="0" collapsed="false">
      <c r="X1148" s="10"/>
      <c r="Y1148" s="10"/>
      <c r="Z1148" s="10"/>
    </row>
    <row r="1149" customFormat="false" ht="15.75" hidden="true" customHeight="false" outlineLevel="0" collapsed="false">
      <c r="X1149" s="10"/>
      <c r="Y1149" s="10"/>
      <c r="Z1149" s="10"/>
    </row>
    <row r="1150" customFormat="false" ht="15.75" hidden="true" customHeight="false" outlineLevel="0" collapsed="false">
      <c r="X1150" s="10"/>
      <c r="Y1150" s="10"/>
      <c r="Z1150" s="10"/>
    </row>
    <row r="1151" customFormat="false" ht="15.75" hidden="true" customHeight="false" outlineLevel="0" collapsed="false">
      <c r="X1151" s="10"/>
      <c r="Y1151" s="10"/>
      <c r="Z1151" s="10"/>
    </row>
    <row r="1152" customFormat="false" ht="15.75" hidden="true" customHeight="false" outlineLevel="0" collapsed="false">
      <c r="X1152" s="10"/>
      <c r="Y1152" s="10"/>
      <c r="Z1152" s="10"/>
    </row>
    <row r="1153" customFormat="false" ht="15.75" hidden="true" customHeight="false" outlineLevel="0" collapsed="false">
      <c r="X1153" s="10"/>
      <c r="Y1153" s="10"/>
      <c r="Z1153" s="10"/>
    </row>
    <row r="1154" customFormat="false" ht="15.75" hidden="true" customHeight="false" outlineLevel="0" collapsed="false">
      <c r="X1154" s="10"/>
      <c r="Y1154" s="10"/>
      <c r="Z1154" s="10"/>
    </row>
    <row r="1155" customFormat="false" ht="15.75" hidden="true" customHeight="false" outlineLevel="0" collapsed="false">
      <c r="X1155" s="10"/>
      <c r="Y1155" s="10"/>
      <c r="Z1155" s="10"/>
    </row>
    <row r="1156" customFormat="false" ht="15.75" hidden="true" customHeight="false" outlineLevel="0" collapsed="false">
      <c r="X1156" s="10"/>
      <c r="Y1156" s="10"/>
      <c r="Z1156" s="10"/>
    </row>
    <row r="1157" customFormat="false" ht="15.75" hidden="true" customHeight="false" outlineLevel="0" collapsed="false">
      <c r="X1157" s="10"/>
      <c r="Y1157" s="10"/>
      <c r="Z1157" s="10"/>
    </row>
    <row r="1158" customFormat="false" ht="15.75" hidden="true" customHeight="false" outlineLevel="0" collapsed="false">
      <c r="X1158" s="10"/>
      <c r="Y1158" s="10"/>
      <c r="Z1158" s="10"/>
    </row>
    <row r="1159" customFormat="false" ht="15.75" hidden="true" customHeight="false" outlineLevel="0" collapsed="false">
      <c r="X1159" s="10"/>
      <c r="Y1159" s="10"/>
      <c r="Z1159" s="10"/>
    </row>
    <row r="1160" customFormat="false" ht="15.75" hidden="true" customHeight="false" outlineLevel="0" collapsed="false">
      <c r="X1160" s="10"/>
      <c r="Y1160" s="10"/>
      <c r="Z1160" s="10"/>
    </row>
    <row r="1161" customFormat="false" ht="15.75" hidden="true" customHeight="false" outlineLevel="0" collapsed="false">
      <c r="X1161" s="10"/>
      <c r="Y1161" s="10"/>
      <c r="Z1161" s="10"/>
    </row>
    <row r="1162" customFormat="false" ht="15.75" hidden="true" customHeight="false" outlineLevel="0" collapsed="false">
      <c r="X1162" s="10"/>
      <c r="Y1162" s="10"/>
      <c r="Z1162" s="10"/>
    </row>
    <row r="1163" customFormat="false" ht="15.75" hidden="true" customHeight="false" outlineLevel="0" collapsed="false">
      <c r="X1163" s="10"/>
      <c r="Y1163" s="10"/>
      <c r="Z1163" s="10"/>
    </row>
    <row r="1164" customFormat="false" ht="15.75" hidden="true" customHeight="false" outlineLevel="0" collapsed="false">
      <c r="X1164" s="10"/>
      <c r="Y1164" s="10"/>
      <c r="Z1164" s="10"/>
    </row>
    <row r="1165" customFormat="false" ht="15.75" hidden="true" customHeight="false" outlineLevel="0" collapsed="false">
      <c r="X1165" s="10"/>
      <c r="Y1165" s="10"/>
      <c r="Z1165" s="10"/>
    </row>
    <row r="1166" customFormat="false" ht="15.75" hidden="true" customHeight="false" outlineLevel="0" collapsed="false">
      <c r="X1166" s="10"/>
      <c r="Y1166" s="10"/>
      <c r="Z1166" s="10"/>
    </row>
    <row r="1167" customFormat="false" ht="15.75" hidden="true" customHeight="false" outlineLevel="0" collapsed="false">
      <c r="X1167" s="10"/>
      <c r="Y1167" s="10"/>
      <c r="Z1167" s="10"/>
    </row>
    <row r="1168" customFormat="false" ht="15.75" hidden="true" customHeight="false" outlineLevel="0" collapsed="false">
      <c r="X1168" s="10"/>
      <c r="Y1168" s="10"/>
      <c r="Z1168" s="10"/>
    </row>
    <row r="1169" customFormat="false" ht="15.75" hidden="true" customHeight="false" outlineLevel="0" collapsed="false">
      <c r="X1169" s="10"/>
      <c r="Y1169" s="10"/>
      <c r="Z1169" s="10"/>
    </row>
    <row r="1170" customFormat="false" ht="15.75" hidden="true" customHeight="false" outlineLevel="0" collapsed="false">
      <c r="X1170" s="10"/>
      <c r="Y1170" s="10"/>
      <c r="Z1170" s="10"/>
    </row>
    <row r="1171" customFormat="false" ht="15.75" hidden="true" customHeight="false" outlineLevel="0" collapsed="false">
      <c r="X1171" s="10"/>
      <c r="Y1171" s="10"/>
      <c r="Z1171" s="10"/>
    </row>
    <row r="1172" customFormat="false" ht="15.75" hidden="true" customHeight="false" outlineLevel="0" collapsed="false">
      <c r="X1172" s="10"/>
      <c r="Y1172" s="10"/>
      <c r="Z1172" s="10"/>
    </row>
    <row r="1173" customFormat="false" ht="15.75" hidden="true" customHeight="false" outlineLevel="0" collapsed="false">
      <c r="X1173" s="10"/>
      <c r="Y1173" s="10"/>
      <c r="Z1173" s="10"/>
    </row>
    <row r="1174" customFormat="false" ht="15.75" hidden="true" customHeight="false" outlineLevel="0" collapsed="false">
      <c r="X1174" s="10"/>
      <c r="Y1174" s="10"/>
      <c r="Z1174" s="10"/>
    </row>
    <row r="1175" customFormat="false" ht="15.75" hidden="true" customHeight="false" outlineLevel="0" collapsed="false">
      <c r="X1175" s="10"/>
      <c r="Y1175" s="10"/>
      <c r="Z1175" s="10"/>
    </row>
    <row r="1176" customFormat="false" ht="15.75" hidden="true" customHeight="false" outlineLevel="0" collapsed="false">
      <c r="X1176" s="10"/>
      <c r="Y1176" s="10"/>
      <c r="Z1176" s="10"/>
    </row>
    <row r="1177" customFormat="false" ht="15.75" hidden="true" customHeight="false" outlineLevel="0" collapsed="false">
      <c r="X1177" s="10"/>
      <c r="Y1177" s="10"/>
      <c r="Z1177" s="10"/>
    </row>
    <row r="1178" customFormat="false" ht="15.75" hidden="true" customHeight="false" outlineLevel="0" collapsed="false">
      <c r="X1178" s="10"/>
      <c r="Y1178" s="10"/>
      <c r="Z1178" s="10"/>
    </row>
    <row r="1179" customFormat="false" ht="15.75" hidden="true" customHeight="false" outlineLevel="0" collapsed="false"/>
    <row r="1180" customFormat="false" ht="15.75" hidden="true" customHeight="false" outlineLevel="0" collapsed="false"/>
    <row r="1181" customFormat="false" ht="15.75" hidden="true" customHeight="false" outlineLevel="0" collapsed="false"/>
    <row r="1182" customFormat="false" ht="15.75" hidden="true" customHeight="false" outlineLevel="0" collapsed="false"/>
    <row r="1183" customFormat="false" ht="15.75" hidden="true" customHeight="false" outlineLevel="0" collapsed="false"/>
    <row r="1184" customFormat="false" ht="15.75" hidden="true" customHeight="false" outlineLevel="0" collapsed="false"/>
    <row r="1185" customFormat="false" ht="15.75" hidden="true" customHeight="false" outlineLevel="0" collapsed="false"/>
    <row r="1186" customFormat="false" ht="15.75" hidden="true" customHeight="false" outlineLevel="0" collapsed="false"/>
    <row r="1187" customFormat="false" ht="15.75" hidden="true" customHeight="false" outlineLevel="0" collapsed="false"/>
    <row r="1188" customFormat="false" ht="15.75" hidden="true" customHeight="false" outlineLevel="0" collapsed="false"/>
    <row r="1189" customFormat="false" ht="15.75" hidden="true" customHeight="false" outlineLevel="0" collapsed="false"/>
    <row r="1190" customFormat="false" ht="15.75" hidden="true" customHeight="false" outlineLevel="0" collapsed="false"/>
    <row r="1191" customFormat="false" ht="15.75" hidden="true" customHeight="false" outlineLevel="0" collapsed="false"/>
    <row r="1192" customFormat="false" ht="15.75" hidden="true" customHeight="false" outlineLevel="0" collapsed="false"/>
    <row r="1193" customFormat="false" ht="15.75" hidden="true" customHeight="false" outlineLevel="0" collapsed="false"/>
    <row r="1194" customFormat="false" ht="15.75" hidden="true" customHeight="false" outlineLevel="0" collapsed="false"/>
    <row r="1195" customFormat="false" ht="15.75" hidden="true" customHeight="false" outlineLevel="0" collapsed="false"/>
    <row r="1196" customFormat="false" ht="15.75" hidden="true" customHeight="false" outlineLevel="0" collapsed="false"/>
    <row r="1197" customFormat="false" ht="15.75" hidden="true" customHeight="false" outlineLevel="0" collapsed="false"/>
    <row r="1198" customFormat="false" ht="15.75" hidden="true" customHeight="false" outlineLevel="0" collapsed="false"/>
    <row r="1199" customFormat="false" ht="15.75" hidden="true" customHeight="false" outlineLevel="0" collapsed="false"/>
    <row r="1200" customFormat="false" ht="15.75" hidden="true" customHeight="false" outlineLevel="0" collapsed="false"/>
    <row r="1201" customFormat="false" ht="15.75" hidden="true" customHeight="false" outlineLevel="0" collapsed="false"/>
    <row r="1202" customFormat="false" ht="15.75" hidden="true" customHeight="false" outlineLevel="0" collapsed="false"/>
    <row r="1203" customFormat="false" ht="15.75" hidden="true" customHeight="false" outlineLevel="0" collapsed="false"/>
    <row r="1204" customFormat="false" ht="15.75" hidden="true" customHeight="false" outlineLevel="0" collapsed="false"/>
    <row r="1205" customFormat="false" ht="15.75" hidden="true" customHeight="false" outlineLevel="0" collapsed="false"/>
    <row r="1206" customFormat="false" ht="15.75" hidden="true" customHeight="false" outlineLevel="0" collapsed="false"/>
    <row r="1207" customFormat="false" ht="15.75" hidden="true" customHeight="false" outlineLevel="0" collapsed="false"/>
    <row r="1208" customFormat="false" ht="15.75" hidden="true" customHeight="false" outlineLevel="0" collapsed="false"/>
    <row r="1209" customFormat="false" ht="15.75" hidden="true" customHeight="false" outlineLevel="0" collapsed="false"/>
    <row r="1210" customFormat="false" ht="15.75" hidden="true" customHeight="false" outlineLevel="0" collapsed="false"/>
    <row r="1211" customFormat="false" ht="15.75" hidden="true" customHeight="false" outlineLevel="0" collapsed="false"/>
    <row r="1212" customFormat="false" ht="15.75" hidden="true" customHeight="false" outlineLevel="0" collapsed="false"/>
    <row r="1213" customFormat="false" ht="15.75" hidden="true" customHeight="false" outlineLevel="0" collapsed="false"/>
    <row r="1214" customFormat="false" ht="15.75" hidden="true" customHeight="false" outlineLevel="0" collapsed="false"/>
    <row r="1215" customFormat="false" ht="15.75" hidden="true" customHeight="false" outlineLevel="0" collapsed="false"/>
    <row r="1216" customFormat="false" ht="15.75" hidden="true" customHeight="false" outlineLevel="0" collapsed="false"/>
    <row r="1217" customFormat="false" ht="15.75" hidden="true" customHeight="false" outlineLevel="0" collapsed="false"/>
    <row r="1218" customFormat="false" ht="15.75" hidden="true" customHeight="false" outlineLevel="0" collapsed="false"/>
    <row r="1219" customFormat="false" ht="15.75" hidden="true" customHeight="false" outlineLevel="0" collapsed="false"/>
    <row r="1220" customFormat="false" ht="15.75" hidden="true" customHeight="false" outlineLevel="0" collapsed="false"/>
    <row r="1221" customFormat="false" ht="15.75" hidden="true" customHeight="false" outlineLevel="0" collapsed="false"/>
    <row r="1222" customFormat="false" ht="15.75" hidden="true" customHeight="false" outlineLevel="0" collapsed="false"/>
    <row r="1223" customFormat="false" ht="15.75" hidden="true" customHeight="false" outlineLevel="0" collapsed="false"/>
    <row r="1224" customFormat="false" ht="15.75" hidden="true" customHeight="false" outlineLevel="0" collapsed="false"/>
    <row r="1225" customFormat="false" ht="15.75" hidden="true" customHeight="false" outlineLevel="0" collapsed="false"/>
    <row r="1226" customFormat="false" ht="15.75" hidden="true" customHeight="false" outlineLevel="0" collapsed="false"/>
    <row r="1227" customFormat="false" ht="15.75" hidden="true" customHeight="false" outlineLevel="0" collapsed="false"/>
    <row r="1228" customFormat="false" ht="15.75" hidden="true" customHeight="false" outlineLevel="0" collapsed="false"/>
    <row r="1229" customFormat="false" ht="15.75" hidden="true" customHeight="false" outlineLevel="0" collapsed="false"/>
    <row r="1230" customFormat="false" ht="15.75" hidden="true" customHeight="false" outlineLevel="0" collapsed="false"/>
    <row r="1231" customFormat="false" ht="15.75" hidden="true" customHeight="false" outlineLevel="0" collapsed="false"/>
    <row r="1232" customFormat="false" ht="15.75" hidden="true" customHeight="false" outlineLevel="0" collapsed="false"/>
    <row r="1233" customFormat="false" ht="15.75" hidden="true" customHeight="false" outlineLevel="0" collapsed="false"/>
    <row r="1234" customFormat="false" ht="15.75" hidden="true" customHeight="false" outlineLevel="0" collapsed="false"/>
    <row r="1235" customFormat="false" ht="15.75" hidden="true" customHeight="false" outlineLevel="0" collapsed="false"/>
    <row r="1236" customFormat="false" ht="15.75" hidden="true" customHeight="false" outlineLevel="0" collapsed="false"/>
    <row r="1237" customFormat="false" ht="15.75" hidden="true" customHeight="false" outlineLevel="0" collapsed="false"/>
    <row r="1238" customFormat="false" ht="15.75" hidden="true" customHeight="false" outlineLevel="0" collapsed="false"/>
    <row r="1239" customFormat="false" ht="15.75" hidden="true" customHeight="false" outlineLevel="0" collapsed="false"/>
    <row r="1240" customFormat="false" ht="15.75" hidden="true" customHeight="false" outlineLevel="0" collapsed="false"/>
    <row r="1241" customFormat="false" ht="15.75" hidden="true" customHeight="false" outlineLevel="0" collapsed="false"/>
    <row r="1242" customFormat="false" ht="15.75" hidden="true" customHeight="false" outlineLevel="0" collapsed="false"/>
    <row r="1243" customFormat="false" ht="15.75" hidden="true" customHeight="false" outlineLevel="0" collapsed="false"/>
    <row r="1244" customFormat="false" ht="15.75" hidden="true" customHeight="false" outlineLevel="0" collapsed="false"/>
    <row r="1245" customFormat="false" ht="15.75" hidden="true" customHeight="false" outlineLevel="0" collapsed="false"/>
    <row r="1246" customFormat="false" ht="15.75" hidden="true" customHeight="false" outlineLevel="0" collapsed="false"/>
    <row r="1247" customFormat="false" ht="15.75" hidden="true" customHeight="false" outlineLevel="0" collapsed="false"/>
    <row r="1248" customFormat="false" ht="15.75" hidden="true" customHeight="false" outlineLevel="0" collapsed="false"/>
    <row r="1249" customFormat="false" ht="15.75" hidden="true" customHeight="false" outlineLevel="0" collapsed="false"/>
    <row r="1250" customFormat="false" ht="15.75" hidden="true" customHeight="false" outlineLevel="0" collapsed="false"/>
    <row r="1251" customFormat="false" ht="15.75" hidden="true" customHeight="false" outlineLevel="0" collapsed="false"/>
    <row r="1252" customFormat="false" ht="15.75" hidden="true" customHeight="false" outlineLevel="0" collapsed="false"/>
    <row r="1253" customFormat="false" ht="15.75" hidden="true" customHeight="false" outlineLevel="0" collapsed="false"/>
    <row r="1254" customFormat="false" ht="15.75" hidden="true" customHeight="false" outlineLevel="0" collapsed="false"/>
    <row r="1255" customFormat="false" ht="15.75" hidden="true" customHeight="false" outlineLevel="0" collapsed="false"/>
    <row r="1256" customFormat="false" ht="15.75" hidden="true" customHeight="false" outlineLevel="0" collapsed="false"/>
    <row r="1257" customFormat="false" ht="15.75" hidden="true" customHeight="false" outlineLevel="0" collapsed="false"/>
    <row r="1258" customFormat="false" ht="15.75" hidden="true" customHeight="false" outlineLevel="0" collapsed="false"/>
    <row r="1259" customFormat="false" ht="15.75" hidden="true" customHeight="false" outlineLevel="0" collapsed="false"/>
    <row r="1260" customFormat="false" ht="15.75" hidden="true" customHeight="false" outlineLevel="0" collapsed="false"/>
    <row r="1261" customFormat="false" ht="15.75" hidden="true" customHeight="false" outlineLevel="0" collapsed="false"/>
    <row r="1262" customFormat="false" ht="15.75" hidden="true" customHeight="false" outlineLevel="0" collapsed="false"/>
    <row r="1263" customFormat="false" ht="15.75" hidden="true" customHeight="false" outlineLevel="0" collapsed="false"/>
    <row r="1264" customFormat="false" ht="15.75" hidden="true" customHeight="false" outlineLevel="0" collapsed="false"/>
    <row r="1265" customFormat="false" ht="15.75" hidden="true" customHeight="false" outlineLevel="0" collapsed="false"/>
    <row r="1266" customFormat="false" ht="15.75" hidden="true" customHeight="false" outlineLevel="0" collapsed="false"/>
    <row r="1267" customFormat="false" ht="15.75" hidden="true" customHeight="false" outlineLevel="0" collapsed="false"/>
    <row r="1268" customFormat="false" ht="15.75" hidden="true" customHeight="false" outlineLevel="0" collapsed="false"/>
    <row r="1269" customFormat="false" ht="15.75" hidden="true" customHeight="false" outlineLevel="0" collapsed="false"/>
    <row r="1270" customFormat="false" ht="15.75" hidden="true" customHeight="false" outlineLevel="0" collapsed="false"/>
    <row r="1271" customFormat="false" ht="15.75" hidden="true" customHeight="false" outlineLevel="0" collapsed="false"/>
    <row r="1272" customFormat="false" ht="15.75" hidden="true" customHeight="false" outlineLevel="0" collapsed="false"/>
    <row r="1273" customFormat="false" ht="15.75" hidden="true" customHeight="false" outlineLevel="0" collapsed="false"/>
    <row r="1274" customFormat="false" ht="15.75" hidden="true" customHeight="false" outlineLevel="0" collapsed="false"/>
    <row r="1275" customFormat="false" ht="15.75" hidden="true" customHeight="false" outlineLevel="0" collapsed="false"/>
    <row r="1276" customFormat="false" ht="15.75" hidden="true" customHeight="false" outlineLevel="0" collapsed="false"/>
    <row r="1277" customFormat="false" ht="15.75" hidden="true" customHeight="false" outlineLevel="0" collapsed="false"/>
    <row r="1278" customFormat="false" ht="15.75" hidden="true" customHeight="false" outlineLevel="0" collapsed="false"/>
    <row r="1279" customFormat="false" ht="15.75" hidden="true" customHeight="false" outlineLevel="0" collapsed="false"/>
    <row r="1280" customFormat="false" ht="15.75" hidden="true" customHeight="false" outlineLevel="0" collapsed="false"/>
    <row r="1281" customFormat="false" ht="15.75" hidden="true" customHeight="false" outlineLevel="0" collapsed="false"/>
    <row r="1282" customFormat="false" ht="15.75" hidden="true" customHeight="false" outlineLevel="0" collapsed="false"/>
    <row r="1283" customFormat="false" ht="15.75" hidden="true" customHeight="false" outlineLevel="0" collapsed="false"/>
    <row r="1284" customFormat="false" ht="15.75" hidden="true" customHeight="false" outlineLevel="0" collapsed="false"/>
    <row r="1285" customFormat="false" ht="15.75" hidden="true" customHeight="false" outlineLevel="0" collapsed="false"/>
    <row r="1286" customFormat="false" ht="15.75" hidden="true" customHeight="false" outlineLevel="0" collapsed="false"/>
    <row r="1287" customFormat="false" ht="15.75" hidden="true" customHeight="false" outlineLevel="0" collapsed="false"/>
    <row r="1288" customFormat="false" ht="15.75" hidden="true" customHeight="false" outlineLevel="0" collapsed="false"/>
    <row r="1289" customFormat="false" ht="15.75" hidden="true" customHeight="false" outlineLevel="0" collapsed="false"/>
    <row r="1290" customFormat="false" ht="15.75" hidden="true" customHeight="false" outlineLevel="0" collapsed="false"/>
    <row r="1291" customFormat="false" ht="15.75" hidden="true" customHeight="false" outlineLevel="0" collapsed="false"/>
    <row r="1292" customFormat="false" ht="15.75" hidden="true" customHeight="false" outlineLevel="0" collapsed="false"/>
    <row r="1293" customFormat="false" ht="15.75" hidden="true" customHeight="false" outlineLevel="0" collapsed="false"/>
    <row r="1294" customFormat="false" ht="15.75" hidden="true" customHeight="false" outlineLevel="0" collapsed="false"/>
    <row r="1295" customFormat="false" ht="15.75" hidden="true" customHeight="false" outlineLevel="0" collapsed="false"/>
    <row r="1296" customFormat="false" ht="15.75" hidden="true" customHeight="false" outlineLevel="0" collapsed="false"/>
    <row r="1297" customFormat="false" ht="15.75" hidden="true" customHeight="false" outlineLevel="0" collapsed="false"/>
    <row r="1298" customFormat="false" ht="15.75" hidden="true" customHeight="false" outlineLevel="0" collapsed="false"/>
    <row r="1299" customFormat="false" ht="15.75" hidden="true" customHeight="false" outlineLevel="0" collapsed="false"/>
    <row r="1300" customFormat="false" ht="15.75" hidden="true" customHeight="false" outlineLevel="0" collapsed="false"/>
    <row r="1301" customFormat="false" ht="15.75" hidden="true" customHeight="false" outlineLevel="0" collapsed="false"/>
    <row r="1302" customFormat="false" ht="15.75" hidden="true" customHeight="false" outlineLevel="0" collapsed="false"/>
    <row r="1303" customFormat="false" ht="15.75" hidden="true" customHeight="false" outlineLevel="0" collapsed="false"/>
    <row r="1304" customFormat="false" ht="15.75" hidden="true" customHeight="false" outlineLevel="0" collapsed="false"/>
    <row r="1305" customFormat="false" ht="15.75" hidden="true" customHeight="false" outlineLevel="0" collapsed="false"/>
    <row r="1306" customFormat="false" ht="15.75" hidden="true" customHeight="false" outlineLevel="0" collapsed="false"/>
    <row r="1307" customFormat="false" ht="15.75" hidden="true" customHeight="false" outlineLevel="0" collapsed="false"/>
    <row r="1308" customFormat="false" ht="15.75" hidden="true" customHeight="false" outlineLevel="0" collapsed="false"/>
    <row r="1309" customFormat="false" ht="15.75" hidden="true" customHeight="false" outlineLevel="0" collapsed="false"/>
    <row r="1310" customFormat="false" ht="15.75" hidden="true" customHeight="false" outlineLevel="0" collapsed="false"/>
    <row r="1311" customFormat="false" ht="15.75" hidden="true" customHeight="false" outlineLevel="0" collapsed="false"/>
    <row r="1312" customFormat="false" ht="15.75" hidden="true" customHeight="false" outlineLevel="0" collapsed="false"/>
    <row r="1313" customFormat="false" ht="15.75" hidden="true" customHeight="false" outlineLevel="0" collapsed="false"/>
    <row r="1314" customFormat="false" ht="15.75" hidden="true" customHeight="false" outlineLevel="0" collapsed="false"/>
    <row r="1315" customFormat="false" ht="15.75" hidden="true" customHeight="false" outlineLevel="0" collapsed="false"/>
    <row r="1316" customFormat="false" ht="15.75" hidden="true" customHeight="false" outlineLevel="0" collapsed="false"/>
    <row r="1317" customFormat="false" ht="15.75" hidden="true" customHeight="false" outlineLevel="0" collapsed="false"/>
    <row r="1318" customFormat="false" ht="15.75" hidden="true" customHeight="false" outlineLevel="0" collapsed="false"/>
    <row r="1319" customFormat="false" ht="15.75" hidden="true" customHeight="false" outlineLevel="0" collapsed="false"/>
    <row r="1320" customFormat="false" ht="15.75" hidden="true" customHeight="false" outlineLevel="0" collapsed="false"/>
    <row r="1321" customFormat="false" ht="15.75" hidden="true" customHeight="false" outlineLevel="0" collapsed="false"/>
    <row r="1322" customFormat="false" ht="15.75" hidden="true" customHeight="false" outlineLevel="0" collapsed="false"/>
    <row r="1323" customFormat="false" ht="15.75" hidden="true" customHeight="false" outlineLevel="0" collapsed="false"/>
    <row r="1324" customFormat="false" ht="15.75" hidden="true" customHeight="false" outlineLevel="0" collapsed="false"/>
    <row r="1325" customFormat="false" ht="15.75" hidden="true" customHeight="false" outlineLevel="0" collapsed="false"/>
    <row r="1326" customFormat="false" ht="15.75" hidden="true" customHeight="false" outlineLevel="0" collapsed="false"/>
    <row r="1327" customFormat="false" ht="15.75" hidden="true" customHeight="false" outlineLevel="0" collapsed="false"/>
    <row r="1328" customFormat="false" ht="15.75" hidden="true" customHeight="false" outlineLevel="0" collapsed="false"/>
    <row r="1329" customFormat="false" ht="15.75" hidden="true" customHeight="false" outlineLevel="0" collapsed="false"/>
    <row r="1330" customFormat="false" ht="15.75" hidden="true" customHeight="false" outlineLevel="0" collapsed="false"/>
    <row r="1331" customFormat="false" ht="15.75" hidden="true" customHeight="false" outlineLevel="0" collapsed="false"/>
    <row r="1332" customFormat="false" ht="15.75" hidden="true" customHeight="false" outlineLevel="0" collapsed="false"/>
    <row r="1333" customFormat="false" ht="15.75" hidden="true" customHeight="false" outlineLevel="0" collapsed="false"/>
    <row r="1334" customFormat="false" ht="15.75" hidden="true" customHeight="false" outlineLevel="0" collapsed="false"/>
    <row r="1335" customFormat="false" ht="15.75" hidden="true" customHeight="false" outlineLevel="0" collapsed="false"/>
    <row r="1336" customFormat="false" ht="15.75" hidden="true" customHeight="false" outlineLevel="0" collapsed="false"/>
    <row r="1337" customFormat="false" ht="15.75" hidden="true" customHeight="false" outlineLevel="0" collapsed="false"/>
    <row r="1338" customFormat="false" ht="15.75" hidden="true" customHeight="false" outlineLevel="0" collapsed="false"/>
    <row r="1339" customFormat="false" ht="15.75" hidden="true" customHeight="false" outlineLevel="0" collapsed="false"/>
    <row r="1340" customFormat="false" ht="15.75" hidden="true" customHeight="false" outlineLevel="0" collapsed="false"/>
    <row r="1341" customFormat="false" ht="15.75" hidden="true" customHeight="false" outlineLevel="0" collapsed="false"/>
    <row r="1342" customFormat="false" ht="15.75" hidden="true" customHeight="false" outlineLevel="0" collapsed="false"/>
    <row r="1343" customFormat="false" ht="15.75" hidden="true" customHeight="false" outlineLevel="0" collapsed="false"/>
    <row r="1344" customFormat="false" ht="15.75" hidden="true" customHeight="false" outlineLevel="0" collapsed="false"/>
    <row r="1345" customFormat="false" ht="15.75" hidden="true" customHeight="false" outlineLevel="0" collapsed="false"/>
    <row r="1346" customFormat="false" ht="15.75" hidden="true" customHeight="false" outlineLevel="0" collapsed="false"/>
    <row r="1347" customFormat="false" ht="15.75" hidden="true" customHeight="false" outlineLevel="0" collapsed="false"/>
    <row r="1348" customFormat="false" ht="15.75" hidden="true" customHeight="false" outlineLevel="0" collapsed="false"/>
    <row r="1349" customFormat="false" ht="15.75" hidden="true" customHeight="false" outlineLevel="0" collapsed="false"/>
    <row r="1350" customFormat="false" ht="15.75" hidden="true" customHeight="false" outlineLevel="0" collapsed="false"/>
    <row r="1351" customFormat="false" ht="15.75" hidden="true" customHeight="false" outlineLevel="0" collapsed="false"/>
    <row r="1352" customFormat="false" ht="15.75" hidden="true" customHeight="false" outlineLevel="0" collapsed="false"/>
    <row r="1353" customFormat="false" ht="15.75" hidden="true" customHeight="false" outlineLevel="0" collapsed="false"/>
    <row r="1354" customFormat="false" ht="15.75" hidden="true" customHeight="false" outlineLevel="0" collapsed="false"/>
    <row r="1355" customFormat="false" ht="15.75" hidden="true" customHeight="false" outlineLevel="0" collapsed="false"/>
    <row r="1356" customFormat="false" ht="15.75" hidden="true" customHeight="false" outlineLevel="0" collapsed="false"/>
    <row r="1357" customFormat="false" ht="15.75" hidden="true" customHeight="false" outlineLevel="0" collapsed="false"/>
    <row r="1358" customFormat="false" ht="15.75" hidden="true" customHeight="false" outlineLevel="0" collapsed="false"/>
    <row r="1359" customFormat="false" ht="15.75" hidden="true" customHeight="false" outlineLevel="0" collapsed="false"/>
    <row r="1360" customFormat="false" ht="15.75" hidden="true" customHeight="false" outlineLevel="0" collapsed="false"/>
    <row r="1361" customFormat="false" ht="15.75" hidden="true" customHeight="false" outlineLevel="0" collapsed="false"/>
    <row r="1362" customFormat="false" ht="15.75" hidden="true" customHeight="false" outlineLevel="0" collapsed="false"/>
    <row r="1363" customFormat="false" ht="15.75" hidden="true" customHeight="false" outlineLevel="0" collapsed="false"/>
    <row r="1364" customFormat="false" ht="15.75" hidden="true" customHeight="false" outlineLevel="0" collapsed="false"/>
    <row r="1365" customFormat="false" ht="15.75" hidden="true" customHeight="false" outlineLevel="0" collapsed="false"/>
    <row r="1366" customFormat="false" ht="15.75" hidden="true" customHeight="false" outlineLevel="0" collapsed="false"/>
    <row r="1367" customFormat="false" ht="15.75" hidden="true" customHeight="false" outlineLevel="0" collapsed="false"/>
    <row r="1368" customFormat="false" ht="15.75" hidden="true" customHeight="false" outlineLevel="0" collapsed="false"/>
    <row r="1369" customFormat="false" ht="15.75" hidden="true" customHeight="false" outlineLevel="0" collapsed="false"/>
    <row r="1370" customFormat="false" ht="15.75" hidden="true" customHeight="false" outlineLevel="0" collapsed="false"/>
    <row r="1371" customFormat="false" ht="15.75" hidden="true" customHeight="false" outlineLevel="0" collapsed="false"/>
    <row r="1372" customFormat="false" ht="15.75" hidden="true" customHeight="false" outlineLevel="0" collapsed="false"/>
    <row r="1373" customFormat="false" ht="15.75" hidden="true" customHeight="false" outlineLevel="0" collapsed="false"/>
    <row r="1374" customFormat="false" ht="15.75" hidden="true" customHeight="false" outlineLevel="0" collapsed="false"/>
    <row r="1375" customFormat="false" ht="15.75" hidden="true" customHeight="false" outlineLevel="0" collapsed="false"/>
    <row r="1376" customFormat="false" ht="15.75" hidden="true" customHeight="false" outlineLevel="0" collapsed="false"/>
    <row r="1377" customFormat="false" ht="15.75" hidden="true" customHeight="false" outlineLevel="0" collapsed="false"/>
    <row r="1378" customFormat="false" ht="15.75" hidden="true" customHeight="false" outlineLevel="0" collapsed="false"/>
    <row r="1379" customFormat="false" ht="15.75" hidden="true" customHeight="false" outlineLevel="0" collapsed="false"/>
    <row r="1380" customFormat="false" ht="15.75" hidden="true" customHeight="false" outlineLevel="0" collapsed="false"/>
    <row r="1381" customFormat="false" ht="15.75" hidden="true" customHeight="false" outlineLevel="0" collapsed="false"/>
    <row r="1382" customFormat="false" ht="15.75" hidden="true" customHeight="false" outlineLevel="0" collapsed="false"/>
    <row r="1383" customFormat="false" ht="15.75" hidden="true" customHeight="false" outlineLevel="0" collapsed="false"/>
    <row r="1384" customFormat="false" ht="15.75" hidden="true" customHeight="false" outlineLevel="0" collapsed="false"/>
    <row r="1385" customFormat="false" ht="15.75" hidden="true" customHeight="false" outlineLevel="0" collapsed="false"/>
    <row r="1386" customFormat="false" ht="15.75" hidden="true" customHeight="false" outlineLevel="0" collapsed="false"/>
    <row r="1387" customFormat="false" ht="15.75" hidden="true" customHeight="false" outlineLevel="0" collapsed="false"/>
    <row r="1388" customFormat="false" ht="15.75" hidden="true" customHeight="false" outlineLevel="0" collapsed="false"/>
    <row r="1389" customFormat="false" ht="15.75" hidden="true" customHeight="false" outlineLevel="0" collapsed="false"/>
    <row r="1390" customFormat="false" ht="15.75" hidden="true" customHeight="false" outlineLevel="0" collapsed="false"/>
    <row r="1391" customFormat="false" ht="15.75" hidden="true" customHeight="false" outlineLevel="0" collapsed="false"/>
    <row r="1392" customFormat="false" ht="15.75" hidden="true" customHeight="false" outlineLevel="0" collapsed="false"/>
    <row r="1393" customFormat="false" ht="15.75" hidden="true" customHeight="false" outlineLevel="0" collapsed="false"/>
    <row r="1394" customFormat="false" ht="15.75" hidden="true" customHeight="false" outlineLevel="0" collapsed="false"/>
    <row r="1395" customFormat="false" ht="15.75" hidden="true" customHeight="false" outlineLevel="0" collapsed="false"/>
    <row r="1396" customFormat="false" ht="15.75" hidden="true" customHeight="false" outlineLevel="0" collapsed="false"/>
    <row r="1397" customFormat="false" ht="15.75" hidden="true" customHeight="false" outlineLevel="0" collapsed="false"/>
    <row r="1398" customFormat="false" ht="15.75" hidden="true" customHeight="false" outlineLevel="0" collapsed="false"/>
    <row r="1399" customFormat="false" ht="15.75" hidden="true" customHeight="false" outlineLevel="0" collapsed="false"/>
    <row r="1400" customFormat="false" ht="15.75" hidden="true" customHeight="false" outlineLevel="0" collapsed="false"/>
    <row r="1401" customFormat="false" ht="15.75" hidden="true" customHeight="false" outlineLevel="0" collapsed="false"/>
    <row r="1402" customFormat="false" ht="15.75" hidden="true" customHeight="false" outlineLevel="0" collapsed="false"/>
    <row r="1403" customFormat="false" ht="15.75" hidden="true" customHeight="false" outlineLevel="0" collapsed="false"/>
    <row r="1404" customFormat="false" ht="15.75" hidden="true" customHeight="false" outlineLevel="0" collapsed="false"/>
    <row r="1405" customFormat="false" ht="15.75" hidden="true" customHeight="false" outlineLevel="0" collapsed="false"/>
    <row r="1406" customFormat="false" ht="15.75" hidden="true" customHeight="false" outlineLevel="0" collapsed="false"/>
    <row r="1407" customFormat="false" ht="15.75" hidden="true" customHeight="false" outlineLevel="0" collapsed="false"/>
    <row r="1408" customFormat="false" ht="15.75" hidden="true" customHeight="false" outlineLevel="0" collapsed="false"/>
    <row r="1409" customFormat="false" ht="15.75" hidden="true" customHeight="false" outlineLevel="0" collapsed="false"/>
    <row r="1410" customFormat="false" ht="15.75" hidden="true" customHeight="false" outlineLevel="0" collapsed="false"/>
    <row r="1411" customFormat="false" ht="15.75" hidden="true" customHeight="false" outlineLevel="0" collapsed="false"/>
    <row r="1412" customFormat="false" ht="15.75" hidden="true" customHeight="false" outlineLevel="0" collapsed="false"/>
    <row r="1413" customFormat="false" ht="15.75" hidden="true" customHeight="false" outlineLevel="0" collapsed="false"/>
    <row r="1414" customFormat="false" ht="15.75" hidden="true" customHeight="false" outlineLevel="0" collapsed="false"/>
    <row r="1415" customFormat="false" ht="15.75" hidden="true" customHeight="false" outlineLevel="0" collapsed="false"/>
    <row r="1416" customFormat="false" ht="15.75" hidden="true" customHeight="false" outlineLevel="0" collapsed="false"/>
    <row r="1417" customFormat="false" ht="15.75" hidden="true" customHeight="false" outlineLevel="0" collapsed="false"/>
    <row r="1418" customFormat="false" ht="15.75" hidden="true" customHeight="false" outlineLevel="0" collapsed="false"/>
    <row r="1419" customFormat="false" ht="15.75" hidden="true" customHeight="false" outlineLevel="0" collapsed="false"/>
    <row r="1420" customFormat="false" ht="15.75" hidden="true" customHeight="false" outlineLevel="0" collapsed="false"/>
    <row r="1421" customFormat="false" ht="15.75" hidden="true" customHeight="false" outlineLevel="0" collapsed="false"/>
    <row r="1422" customFormat="false" ht="15.75" hidden="true" customHeight="false" outlineLevel="0" collapsed="false"/>
    <row r="1423" customFormat="false" ht="15.75" hidden="true" customHeight="false" outlineLevel="0" collapsed="false"/>
    <row r="1424" customFormat="false" ht="15.75" hidden="true" customHeight="false" outlineLevel="0" collapsed="false"/>
    <row r="1425" customFormat="false" ht="15.75" hidden="true" customHeight="false" outlineLevel="0" collapsed="false"/>
    <row r="1426" customFormat="false" ht="15.75" hidden="true" customHeight="false" outlineLevel="0" collapsed="false"/>
    <row r="1427" customFormat="false" ht="15.75" hidden="true" customHeight="false" outlineLevel="0" collapsed="false"/>
    <row r="1428" customFormat="false" ht="15.75" hidden="true" customHeight="false" outlineLevel="0" collapsed="false"/>
    <row r="1429" customFormat="false" ht="15.75" hidden="true" customHeight="false" outlineLevel="0" collapsed="false"/>
    <row r="1430" customFormat="false" ht="15.75" hidden="true" customHeight="false" outlineLevel="0" collapsed="false"/>
    <row r="1431" customFormat="false" ht="15.75" hidden="true" customHeight="false" outlineLevel="0" collapsed="false"/>
    <row r="1432" customFormat="false" ht="15.75" hidden="true" customHeight="false" outlineLevel="0" collapsed="false"/>
    <row r="1433" customFormat="false" ht="15.75" hidden="true" customHeight="false" outlineLevel="0" collapsed="false"/>
    <row r="1434" customFormat="false" ht="15.75" hidden="true" customHeight="false" outlineLevel="0" collapsed="false"/>
    <row r="1435" customFormat="false" ht="15.75" hidden="true" customHeight="false" outlineLevel="0" collapsed="false"/>
    <row r="1436" customFormat="false" ht="15.75" hidden="true" customHeight="false" outlineLevel="0" collapsed="false"/>
    <row r="1437" customFormat="false" ht="15.75" hidden="true" customHeight="false" outlineLevel="0" collapsed="false"/>
    <row r="1438" customFormat="false" ht="15.75" hidden="true" customHeight="false" outlineLevel="0" collapsed="false"/>
    <row r="1439" customFormat="false" ht="15.75" hidden="true" customHeight="false" outlineLevel="0" collapsed="false"/>
    <row r="1440" customFormat="false" ht="15.75" hidden="true" customHeight="false" outlineLevel="0" collapsed="false"/>
    <row r="1441" customFormat="false" ht="15.75" hidden="true" customHeight="false" outlineLevel="0" collapsed="false"/>
    <row r="1442" customFormat="false" ht="15.75" hidden="true" customHeight="false" outlineLevel="0" collapsed="false"/>
    <row r="1443" customFormat="false" ht="15.75" hidden="true" customHeight="false" outlineLevel="0" collapsed="false"/>
    <row r="1444" customFormat="false" ht="15.75" hidden="true" customHeight="false" outlineLevel="0" collapsed="false"/>
    <row r="1445" customFormat="false" ht="15.75" hidden="true" customHeight="false" outlineLevel="0" collapsed="false"/>
    <row r="1446" customFormat="false" ht="15.75" hidden="true" customHeight="false" outlineLevel="0" collapsed="false"/>
    <row r="1447" customFormat="false" ht="15.75" hidden="true" customHeight="false" outlineLevel="0" collapsed="false"/>
    <row r="1448" customFormat="false" ht="15.75" hidden="true" customHeight="false" outlineLevel="0" collapsed="false"/>
    <row r="1449" customFormat="false" ht="15.75" hidden="true" customHeight="false" outlineLevel="0" collapsed="false"/>
    <row r="1450" customFormat="false" ht="15.75" hidden="true" customHeight="false" outlineLevel="0" collapsed="false"/>
    <row r="1451" customFormat="false" ht="15.75" hidden="true" customHeight="false" outlineLevel="0" collapsed="false"/>
    <row r="1452" customFormat="false" ht="15.75" hidden="true" customHeight="false" outlineLevel="0" collapsed="false"/>
    <row r="1453" customFormat="false" ht="15.75" hidden="true" customHeight="false" outlineLevel="0" collapsed="false"/>
    <row r="1454" customFormat="false" ht="15.75" hidden="true" customHeight="false" outlineLevel="0" collapsed="false"/>
    <row r="1455" customFormat="false" ht="15.75" hidden="true" customHeight="false" outlineLevel="0" collapsed="false"/>
    <row r="1456" customFormat="false" ht="15.75" hidden="true" customHeight="false" outlineLevel="0" collapsed="false"/>
    <row r="1457" customFormat="false" ht="15.75" hidden="true" customHeight="false" outlineLevel="0" collapsed="false"/>
    <row r="1458" customFormat="false" ht="15.75" hidden="true" customHeight="false" outlineLevel="0" collapsed="false"/>
    <row r="1459" customFormat="false" ht="15.75" hidden="true" customHeight="false" outlineLevel="0" collapsed="false"/>
    <row r="1460" customFormat="false" ht="15.75" hidden="true" customHeight="false" outlineLevel="0" collapsed="false"/>
    <row r="1461" customFormat="false" ht="15.75" hidden="true" customHeight="false" outlineLevel="0" collapsed="false"/>
    <row r="1462" customFormat="false" ht="15.75" hidden="true" customHeight="false" outlineLevel="0" collapsed="false"/>
    <row r="1463" customFormat="false" ht="15.75" hidden="true" customHeight="false" outlineLevel="0" collapsed="false"/>
    <row r="1464" customFormat="false" ht="15.75" hidden="true" customHeight="false" outlineLevel="0" collapsed="false"/>
    <row r="1465" customFormat="false" ht="15.75" hidden="true" customHeight="false" outlineLevel="0" collapsed="false"/>
    <row r="1466" customFormat="false" ht="15.75" hidden="true" customHeight="false" outlineLevel="0" collapsed="false"/>
    <row r="1467" customFormat="false" ht="15.75" hidden="true" customHeight="false" outlineLevel="0" collapsed="false"/>
    <row r="1468" customFormat="false" ht="15.75" hidden="true" customHeight="false" outlineLevel="0" collapsed="false"/>
    <row r="1469" customFormat="false" ht="15.75" hidden="true" customHeight="false" outlineLevel="0" collapsed="false"/>
    <row r="1470" customFormat="false" ht="15.75" hidden="true" customHeight="false" outlineLevel="0" collapsed="false"/>
    <row r="1471" customFormat="false" ht="15.75" hidden="true" customHeight="false" outlineLevel="0" collapsed="false"/>
    <row r="1472" customFormat="false" ht="15.75" hidden="true" customHeight="false" outlineLevel="0" collapsed="false"/>
    <row r="1473" customFormat="false" ht="15.75" hidden="true" customHeight="false" outlineLevel="0" collapsed="false"/>
    <row r="1474" customFormat="false" ht="15.75" hidden="true" customHeight="false" outlineLevel="0" collapsed="false"/>
    <row r="1475" customFormat="false" ht="15.75" hidden="true" customHeight="false" outlineLevel="0" collapsed="false"/>
    <row r="1476" customFormat="false" ht="15.75" hidden="true" customHeight="false" outlineLevel="0" collapsed="false"/>
    <row r="1477" customFormat="false" ht="15.75" hidden="true" customHeight="false" outlineLevel="0" collapsed="false"/>
    <row r="1478" customFormat="false" ht="15.75" hidden="true" customHeight="false" outlineLevel="0" collapsed="false"/>
    <row r="1479" customFormat="false" ht="15.75" hidden="true" customHeight="false" outlineLevel="0" collapsed="false"/>
    <row r="1480" customFormat="false" ht="15.75" hidden="true" customHeight="false" outlineLevel="0" collapsed="false"/>
    <row r="1481" customFormat="false" ht="15.75" hidden="true" customHeight="false" outlineLevel="0" collapsed="false"/>
    <row r="1482" customFormat="false" ht="15.75" hidden="true" customHeight="false" outlineLevel="0" collapsed="false"/>
    <row r="1483" customFormat="false" ht="15.75" hidden="true" customHeight="false" outlineLevel="0" collapsed="false"/>
    <row r="1484" customFormat="false" ht="15.75" hidden="true" customHeight="false" outlineLevel="0" collapsed="false"/>
    <row r="1485" customFormat="false" ht="15.75" hidden="true" customHeight="false" outlineLevel="0" collapsed="false"/>
    <row r="1486" customFormat="false" ht="15.75" hidden="true" customHeight="false" outlineLevel="0" collapsed="false"/>
    <row r="1487" customFormat="false" ht="15.75" hidden="true" customHeight="false" outlineLevel="0" collapsed="false"/>
    <row r="1488" customFormat="false" ht="15.75" hidden="true" customHeight="false" outlineLevel="0" collapsed="false"/>
    <row r="1489" customFormat="false" ht="15.75" hidden="true" customHeight="false" outlineLevel="0" collapsed="false"/>
    <row r="1490" customFormat="false" ht="15.75" hidden="true" customHeight="false" outlineLevel="0" collapsed="false"/>
    <row r="1491" customFormat="false" ht="15.75" hidden="true" customHeight="false" outlineLevel="0" collapsed="false"/>
    <row r="1492" customFormat="false" ht="15.75" hidden="true" customHeight="false" outlineLevel="0" collapsed="false"/>
    <row r="1493" customFormat="false" ht="15.75" hidden="true" customHeight="false" outlineLevel="0" collapsed="false"/>
    <row r="1494" customFormat="false" ht="15.75" hidden="true" customHeight="false" outlineLevel="0" collapsed="false"/>
    <row r="1495" customFormat="false" ht="15.75" hidden="true" customHeight="false" outlineLevel="0" collapsed="false"/>
    <row r="1496" customFormat="false" ht="15.75" hidden="true" customHeight="false" outlineLevel="0" collapsed="false"/>
    <row r="1497" customFormat="false" ht="15.75" hidden="true" customHeight="false" outlineLevel="0" collapsed="false"/>
    <row r="1498" customFormat="false" ht="15.75" hidden="true" customHeight="false" outlineLevel="0" collapsed="false"/>
    <row r="1499" customFormat="false" ht="15.75" hidden="true" customHeight="false" outlineLevel="0" collapsed="false"/>
    <row r="1500" customFormat="false" ht="15.75" hidden="true" customHeight="false" outlineLevel="0" collapsed="false"/>
    <row r="1501" customFormat="false" ht="15.75" hidden="true" customHeight="false" outlineLevel="0" collapsed="false"/>
    <row r="1502" customFormat="false" ht="15.75" hidden="true" customHeight="false" outlineLevel="0" collapsed="false"/>
    <row r="1503" customFormat="false" ht="15.75" hidden="true" customHeight="false" outlineLevel="0" collapsed="false"/>
    <row r="1504" customFormat="false" ht="15.75" hidden="true" customHeight="false" outlineLevel="0" collapsed="false"/>
    <row r="1505" customFormat="false" ht="15.75" hidden="true" customHeight="false" outlineLevel="0" collapsed="false"/>
    <row r="1506" customFormat="false" ht="15.75" hidden="true" customHeight="false" outlineLevel="0" collapsed="false"/>
    <row r="1507" customFormat="false" ht="15.75" hidden="true" customHeight="false" outlineLevel="0" collapsed="false"/>
    <row r="1508" customFormat="false" ht="15.75" hidden="true" customHeight="false" outlineLevel="0" collapsed="false"/>
    <row r="1509" customFormat="false" ht="15.75" hidden="true" customHeight="false" outlineLevel="0" collapsed="false"/>
    <row r="1510" customFormat="false" ht="15.75" hidden="true" customHeight="false" outlineLevel="0" collapsed="false"/>
    <row r="1511" customFormat="false" ht="15.75" hidden="true" customHeight="false" outlineLevel="0" collapsed="false"/>
    <row r="1512" customFormat="false" ht="15.75" hidden="true" customHeight="false" outlineLevel="0" collapsed="false"/>
    <row r="1513" customFormat="false" ht="15.75" hidden="true" customHeight="false" outlineLevel="0" collapsed="false"/>
    <row r="1514" customFormat="false" ht="15.75" hidden="true" customHeight="false" outlineLevel="0" collapsed="false"/>
    <row r="1515" customFormat="false" ht="15.75" hidden="true" customHeight="false" outlineLevel="0" collapsed="false"/>
    <row r="1516" customFormat="false" ht="15.75" hidden="true" customHeight="false" outlineLevel="0" collapsed="false"/>
    <row r="1517" customFormat="false" ht="15.75" hidden="true" customHeight="false" outlineLevel="0" collapsed="false"/>
    <row r="1518" customFormat="false" ht="15.75" hidden="true" customHeight="false" outlineLevel="0" collapsed="false"/>
    <row r="1519" customFormat="false" ht="15.75" hidden="true" customHeight="false" outlineLevel="0" collapsed="false"/>
    <row r="1520" customFormat="false" ht="15.75" hidden="true" customHeight="false" outlineLevel="0" collapsed="false"/>
    <row r="1521" customFormat="false" ht="15.75" hidden="true" customHeight="false" outlineLevel="0" collapsed="false"/>
    <row r="1522" customFormat="false" ht="15.75" hidden="true" customHeight="false" outlineLevel="0" collapsed="false"/>
    <row r="1523" customFormat="false" ht="15.75" hidden="true" customHeight="false" outlineLevel="0" collapsed="false"/>
    <row r="1524" customFormat="false" ht="15.75" hidden="true" customHeight="false" outlineLevel="0" collapsed="false"/>
    <row r="1525" customFormat="false" ht="15.75" hidden="true" customHeight="false" outlineLevel="0" collapsed="false"/>
    <row r="1526" customFormat="false" ht="15.75" hidden="true" customHeight="false" outlineLevel="0" collapsed="false"/>
    <row r="1527" customFormat="false" ht="15.75" hidden="true" customHeight="false" outlineLevel="0" collapsed="false"/>
    <row r="1528" customFormat="false" ht="15.75" hidden="true" customHeight="false" outlineLevel="0" collapsed="false"/>
    <row r="1529" customFormat="false" ht="15.75" hidden="true" customHeight="false" outlineLevel="0" collapsed="false"/>
    <row r="1530" customFormat="false" ht="15.75" hidden="true" customHeight="false" outlineLevel="0" collapsed="false"/>
    <row r="1531" customFormat="false" ht="15.75" hidden="true" customHeight="false" outlineLevel="0" collapsed="false"/>
    <row r="1532" customFormat="false" ht="15.75" hidden="true" customHeight="false" outlineLevel="0" collapsed="false"/>
    <row r="1533" customFormat="false" ht="15.75" hidden="true" customHeight="false" outlineLevel="0" collapsed="false"/>
    <row r="1534" customFormat="false" ht="15.75" hidden="true" customHeight="false" outlineLevel="0" collapsed="false"/>
    <row r="1535" customFormat="false" ht="15.75" hidden="true" customHeight="false" outlineLevel="0" collapsed="false"/>
    <row r="1536" customFormat="false" ht="15.75" hidden="true" customHeight="false" outlineLevel="0" collapsed="false"/>
    <row r="1537" customFormat="false" ht="15.75" hidden="true" customHeight="false" outlineLevel="0" collapsed="false"/>
    <row r="1538" customFormat="false" ht="15.75" hidden="true" customHeight="false" outlineLevel="0" collapsed="false"/>
    <row r="1539" customFormat="false" ht="15.75" hidden="true" customHeight="false" outlineLevel="0" collapsed="false"/>
    <row r="1540" customFormat="false" ht="15.75" hidden="true" customHeight="false" outlineLevel="0" collapsed="false"/>
    <row r="1541" customFormat="false" ht="15.75" hidden="true" customHeight="false" outlineLevel="0" collapsed="false"/>
    <row r="1542" customFormat="false" ht="15.75" hidden="true" customHeight="false" outlineLevel="0" collapsed="false"/>
    <row r="1543" customFormat="false" ht="15.75" hidden="true" customHeight="false" outlineLevel="0" collapsed="false"/>
    <row r="1544" customFormat="false" ht="15.75" hidden="true" customHeight="false" outlineLevel="0" collapsed="false"/>
    <row r="1545" customFormat="false" ht="15.75" hidden="true" customHeight="false" outlineLevel="0" collapsed="false"/>
    <row r="1546" customFormat="false" ht="15.75" hidden="true" customHeight="false" outlineLevel="0" collapsed="false"/>
    <row r="1547" customFormat="false" ht="15.75" hidden="true" customHeight="false" outlineLevel="0" collapsed="false"/>
    <row r="1548" customFormat="false" ht="15.75" hidden="true" customHeight="false" outlineLevel="0" collapsed="false"/>
    <row r="1549" customFormat="false" ht="15.75" hidden="true" customHeight="false" outlineLevel="0" collapsed="false"/>
    <row r="1550" customFormat="false" ht="15.75" hidden="true" customHeight="false" outlineLevel="0" collapsed="false"/>
    <row r="1551" customFormat="false" ht="15.75" hidden="true" customHeight="false" outlineLevel="0" collapsed="false"/>
    <row r="1552" customFormat="false" ht="15.75" hidden="true" customHeight="false" outlineLevel="0" collapsed="false"/>
    <row r="1553" customFormat="false" ht="15.75" hidden="true" customHeight="false" outlineLevel="0" collapsed="false"/>
    <row r="1554" customFormat="false" ht="15.75" hidden="true" customHeight="false" outlineLevel="0" collapsed="false"/>
    <row r="1555" customFormat="false" ht="15.75" hidden="true" customHeight="false" outlineLevel="0" collapsed="false"/>
    <row r="1556" customFormat="false" ht="15.75" hidden="true" customHeight="false" outlineLevel="0" collapsed="false"/>
    <row r="1557" customFormat="false" ht="15.75" hidden="true" customHeight="false" outlineLevel="0" collapsed="false"/>
    <row r="1558" customFormat="false" ht="15.75" hidden="true" customHeight="false" outlineLevel="0" collapsed="false"/>
    <row r="1559" customFormat="false" ht="15.75" hidden="true" customHeight="false" outlineLevel="0" collapsed="false"/>
    <row r="1560" customFormat="false" ht="15.75" hidden="true" customHeight="false" outlineLevel="0" collapsed="false"/>
    <row r="1561" customFormat="false" ht="15.75" hidden="true" customHeight="false" outlineLevel="0" collapsed="false"/>
    <row r="1562" customFormat="false" ht="15.75" hidden="true" customHeight="false" outlineLevel="0" collapsed="false"/>
    <row r="1563" customFormat="false" ht="15.75" hidden="true" customHeight="false" outlineLevel="0" collapsed="false"/>
    <row r="1564" customFormat="false" ht="15.75" hidden="true" customHeight="false" outlineLevel="0" collapsed="false"/>
    <row r="1565" customFormat="false" ht="15.75" hidden="true" customHeight="false" outlineLevel="0" collapsed="false"/>
    <row r="1566" customFormat="false" ht="15.75" hidden="true" customHeight="false" outlineLevel="0" collapsed="false"/>
    <row r="1567" customFormat="false" ht="15.75" hidden="true" customHeight="false" outlineLevel="0" collapsed="false"/>
    <row r="1568" customFormat="false" ht="15.75" hidden="true" customHeight="false" outlineLevel="0" collapsed="false"/>
    <row r="1569" customFormat="false" ht="15.75" hidden="true" customHeight="false" outlineLevel="0" collapsed="false"/>
    <row r="1570" customFormat="false" ht="15.75" hidden="true" customHeight="false" outlineLevel="0" collapsed="false"/>
    <row r="1571" customFormat="false" ht="15.75" hidden="true" customHeight="false" outlineLevel="0" collapsed="false"/>
    <row r="1572" customFormat="false" ht="15.75" hidden="true" customHeight="false" outlineLevel="0" collapsed="false"/>
    <row r="1573" customFormat="false" ht="15.75" hidden="true" customHeight="false" outlineLevel="0" collapsed="false"/>
    <row r="1574" customFormat="false" ht="15.75" hidden="true" customHeight="false" outlineLevel="0" collapsed="false"/>
    <row r="1575" customFormat="false" ht="15.75" hidden="true" customHeight="false" outlineLevel="0" collapsed="false"/>
    <row r="1576" customFormat="false" ht="15.75" hidden="true" customHeight="false" outlineLevel="0" collapsed="false"/>
    <row r="1577" customFormat="false" ht="15.75" hidden="true" customHeight="false" outlineLevel="0" collapsed="false"/>
    <row r="1578" customFormat="false" ht="15.75" hidden="true" customHeight="false" outlineLevel="0" collapsed="false"/>
    <row r="1579" customFormat="false" ht="15.75" hidden="true" customHeight="false" outlineLevel="0" collapsed="false"/>
    <row r="1580" customFormat="false" ht="15.75" hidden="true" customHeight="false" outlineLevel="0" collapsed="false"/>
    <row r="1581" customFormat="false" ht="15.75" hidden="true" customHeight="false" outlineLevel="0" collapsed="false"/>
    <row r="1582" customFormat="false" ht="15.75" hidden="true" customHeight="false" outlineLevel="0" collapsed="false"/>
    <row r="1583" customFormat="false" ht="15.75" hidden="true" customHeight="false" outlineLevel="0" collapsed="false"/>
    <row r="1584" customFormat="false" ht="15.75" hidden="true" customHeight="false" outlineLevel="0" collapsed="false"/>
    <row r="1585" customFormat="false" ht="15.75" hidden="true" customHeight="false" outlineLevel="0" collapsed="false"/>
    <row r="1586" customFormat="false" ht="15.75" hidden="true" customHeight="false" outlineLevel="0" collapsed="false"/>
    <row r="1587" customFormat="false" ht="15.75" hidden="true" customHeight="false" outlineLevel="0" collapsed="false"/>
    <row r="1588" customFormat="false" ht="15.75" hidden="true" customHeight="false" outlineLevel="0" collapsed="false"/>
    <row r="1589" customFormat="false" ht="15.75" hidden="true" customHeight="false" outlineLevel="0" collapsed="false"/>
    <row r="1590" customFormat="false" ht="15.75" hidden="true" customHeight="false" outlineLevel="0" collapsed="false"/>
    <row r="1591" customFormat="false" ht="15.75" hidden="true" customHeight="false" outlineLevel="0" collapsed="false"/>
    <row r="1592" customFormat="false" ht="15.75" hidden="true" customHeight="false" outlineLevel="0" collapsed="false"/>
    <row r="1593" customFormat="false" ht="15.75" hidden="true" customHeight="false" outlineLevel="0" collapsed="false"/>
    <row r="1594" customFormat="false" ht="15.75" hidden="true" customHeight="false" outlineLevel="0" collapsed="false"/>
    <row r="1595" customFormat="false" ht="15.75" hidden="true" customHeight="false" outlineLevel="0" collapsed="false"/>
    <row r="1596" customFormat="false" ht="15.75" hidden="true" customHeight="false" outlineLevel="0" collapsed="false"/>
    <row r="1597" customFormat="false" ht="15.75" hidden="true" customHeight="false" outlineLevel="0" collapsed="false"/>
    <row r="1598" customFormat="false" ht="15.75" hidden="true" customHeight="false" outlineLevel="0" collapsed="false"/>
    <row r="1599" customFormat="false" ht="15.75" hidden="true" customHeight="false" outlineLevel="0" collapsed="false"/>
    <row r="1600" customFormat="false" ht="15.75" hidden="true" customHeight="false" outlineLevel="0" collapsed="false"/>
    <row r="1601" customFormat="false" ht="15.75" hidden="true" customHeight="false" outlineLevel="0" collapsed="false"/>
    <row r="1602" customFormat="false" ht="15.75" hidden="true" customHeight="false" outlineLevel="0" collapsed="false"/>
    <row r="1603" customFormat="false" ht="15.75" hidden="true" customHeight="false" outlineLevel="0" collapsed="false"/>
    <row r="1604" customFormat="false" ht="15.75" hidden="true" customHeight="false" outlineLevel="0" collapsed="false"/>
    <row r="1605" customFormat="false" ht="15.75" hidden="true" customHeight="false" outlineLevel="0" collapsed="false"/>
    <row r="1606" customFormat="false" ht="15.75" hidden="true" customHeight="false" outlineLevel="0" collapsed="false"/>
    <row r="1607" customFormat="false" ht="15.75" hidden="true" customHeight="false" outlineLevel="0" collapsed="false"/>
    <row r="1608" customFormat="false" ht="15.75" hidden="true" customHeight="false" outlineLevel="0" collapsed="false"/>
    <row r="1609" customFormat="false" ht="15.75" hidden="true" customHeight="false" outlineLevel="0" collapsed="false"/>
    <row r="1610" customFormat="false" ht="15.75" hidden="true" customHeight="false" outlineLevel="0" collapsed="false"/>
    <row r="1611" customFormat="false" ht="15.75" hidden="true" customHeight="false" outlineLevel="0" collapsed="false"/>
    <row r="1612" customFormat="false" ht="15.75" hidden="true" customHeight="false" outlineLevel="0" collapsed="false"/>
    <row r="1613" customFormat="false" ht="15.75" hidden="true" customHeight="false" outlineLevel="0" collapsed="false"/>
    <row r="1614" customFormat="false" ht="15.75" hidden="true" customHeight="false" outlineLevel="0" collapsed="false"/>
    <row r="1615" customFormat="false" ht="15.75" hidden="true" customHeight="false" outlineLevel="0" collapsed="false"/>
    <row r="1616" customFormat="false" ht="15.75" hidden="true" customHeight="false" outlineLevel="0" collapsed="false"/>
    <row r="1617" customFormat="false" ht="15.75" hidden="true" customHeight="false" outlineLevel="0" collapsed="false"/>
    <row r="1618" customFormat="false" ht="15.75" hidden="true" customHeight="false" outlineLevel="0" collapsed="false"/>
    <row r="1619" customFormat="false" ht="15.75" hidden="true" customHeight="false" outlineLevel="0" collapsed="false"/>
    <row r="1620" customFormat="false" ht="15.75" hidden="true" customHeight="false" outlineLevel="0" collapsed="false"/>
    <row r="1621" customFormat="false" ht="15.75" hidden="true" customHeight="false" outlineLevel="0" collapsed="false"/>
    <row r="1622" customFormat="false" ht="15.75" hidden="true" customHeight="false" outlineLevel="0" collapsed="false"/>
    <row r="1623" customFormat="false" ht="15.75" hidden="true" customHeight="false" outlineLevel="0" collapsed="false"/>
    <row r="1624" customFormat="false" ht="15.75" hidden="true" customHeight="false" outlineLevel="0" collapsed="false"/>
    <row r="1625" customFormat="false" ht="15.75" hidden="true" customHeight="false" outlineLevel="0" collapsed="false"/>
    <row r="1626" customFormat="false" ht="15.75" hidden="true" customHeight="false" outlineLevel="0" collapsed="false"/>
    <row r="1627" customFormat="false" ht="15.75" hidden="true" customHeight="false" outlineLevel="0" collapsed="false"/>
    <row r="1628" customFormat="false" ht="15.75" hidden="true" customHeight="false" outlineLevel="0" collapsed="false"/>
    <row r="1629" customFormat="false" ht="15.75" hidden="true" customHeight="false" outlineLevel="0" collapsed="false"/>
    <row r="1630" customFormat="false" ht="15.75" hidden="true" customHeight="false" outlineLevel="0" collapsed="false"/>
    <row r="1631" customFormat="false" ht="15.75" hidden="true" customHeight="false" outlineLevel="0" collapsed="false"/>
    <row r="1632" customFormat="false" ht="15.75" hidden="true" customHeight="false" outlineLevel="0" collapsed="false"/>
    <row r="1633" customFormat="false" ht="15.75" hidden="true" customHeight="false" outlineLevel="0" collapsed="false"/>
    <row r="1634" customFormat="false" ht="15.75" hidden="true" customHeight="false" outlineLevel="0" collapsed="false"/>
    <row r="1635" customFormat="false" ht="15.75" hidden="true" customHeight="false" outlineLevel="0" collapsed="false"/>
    <row r="1636" customFormat="false" ht="15.75" hidden="true" customHeight="false" outlineLevel="0" collapsed="false"/>
    <row r="1637" customFormat="false" ht="15.75" hidden="true" customHeight="false" outlineLevel="0" collapsed="false"/>
    <row r="1638" customFormat="false" ht="15.75" hidden="true" customHeight="false" outlineLevel="0" collapsed="false"/>
    <row r="1639" customFormat="false" ht="15.75" hidden="true" customHeight="false" outlineLevel="0" collapsed="false"/>
    <row r="1640" customFormat="false" ht="15.75" hidden="true" customHeight="false" outlineLevel="0" collapsed="false"/>
    <row r="1641" customFormat="false" ht="15.75" hidden="true" customHeight="false" outlineLevel="0" collapsed="false"/>
    <row r="1642" customFormat="false" ht="15.75" hidden="true" customHeight="false" outlineLevel="0" collapsed="false"/>
    <row r="1643" customFormat="false" ht="15.75" hidden="true" customHeight="false" outlineLevel="0" collapsed="false"/>
    <row r="1644" customFormat="false" ht="15.75" hidden="true" customHeight="false" outlineLevel="0" collapsed="false"/>
    <row r="1645" customFormat="false" ht="15.75" hidden="true" customHeight="false" outlineLevel="0" collapsed="false"/>
    <row r="1646" customFormat="false" ht="15.75" hidden="true" customHeight="false" outlineLevel="0" collapsed="false"/>
    <row r="1647" customFormat="false" ht="15.75" hidden="true" customHeight="false" outlineLevel="0" collapsed="false"/>
    <row r="1648" customFormat="false" ht="15.75" hidden="true" customHeight="false" outlineLevel="0" collapsed="false"/>
    <row r="1649" customFormat="false" ht="15.75" hidden="true" customHeight="false" outlineLevel="0" collapsed="false"/>
    <row r="1650" customFormat="false" ht="15.75" hidden="true" customHeight="false" outlineLevel="0" collapsed="false"/>
    <row r="1651" customFormat="false" ht="15.75" hidden="true" customHeight="false" outlineLevel="0" collapsed="false"/>
    <row r="1652" customFormat="false" ht="15.75" hidden="true" customHeight="false" outlineLevel="0" collapsed="false"/>
    <row r="1653" customFormat="false" ht="15.75" hidden="true" customHeight="false" outlineLevel="0" collapsed="false"/>
    <row r="1654" customFormat="false" ht="15.75" hidden="true" customHeight="false" outlineLevel="0" collapsed="false"/>
    <row r="1655" customFormat="false" ht="15.75" hidden="true" customHeight="false" outlineLevel="0" collapsed="false"/>
    <row r="1656" customFormat="false" ht="15.75" hidden="true" customHeight="false" outlineLevel="0" collapsed="false"/>
    <row r="1657" customFormat="false" ht="15.75" hidden="true" customHeight="false" outlineLevel="0" collapsed="false"/>
    <row r="1658" customFormat="false" ht="15.75" hidden="true" customHeight="false" outlineLevel="0" collapsed="false"/>
    <row r="1659" customFormat="false" ht="15.75" hidden="true" customHeight="false" outlineLevel="0" collapsed="false"/>
    <row r="1660" customFormat="false" ht="15.75" hidden="true" customHeight="false" outlineLevel="0" collapsed="false"/>
    <row r="1661" customFormat="false" ht="15.75" hidden="true" customHeight="false" outlineLevel="0" collapsed="false"/>
    <row r="1662" customFormat="false" ht="15.75" hidden="true" customHeight="false" outlineLevel="0" collapsed="false"/>
    <row r="1663" customFormat="false" ht="15.75" hidden="true" customHeight="false" outlineLevel="0" collapsed="false"/>
    <row r="1664" customFormat="false" ht="15.75" hidden="true" customHeight="false" outlineLevel="0" collapsed="false"/>
    <row r="1665" customFormat="false" ht="15.75" hidden="true" customHeight="false" outlineLevel="0" collapsed="false"/>
    <row r="1666" customFormat="false" ht="15.75" hidden="true" customHeight="false" outlineLevel="0" collapsed="false"/>
    <row r="1667" customFormat="false" ht="15.75" hidden="true" customHeight="false" outlineLevel="0" collapsed="false"/>
    <row r="1668" customFormat="false" ht="15.75" hidden="true" customHeight="false" outlineLevel="0" collapsed="false"/>
    <row r="1669" customFormat="false" ht="15.75" hidden="true" customHeight="false" outlineLevel="0" collapsed="false"/>
    <row r="1670" customFormat="false" ht="15.75" hidden="true" customHeight="false" outlineLevel="0" collapsed="false"/>
    <row r="1671" customFormat="false" ht="15.75" hidden="true" customHeight="false" outlineLevel="0" collapsed="false"/>
    <row r="1672" customFormat="false" ht="15.75" hidden="true" customHeight="false" outlineLevel="0" collapsed="false"/>
    <row r="1673" customFormat="false" ht="15.75" hidden="true" customHeight="false" outlineLevel="0" collapsed="false"/>
    <row r="1674" customFormat="false" ht="15.75" hidden="true" customHeight="false" outlineLevel="0" collapsed="false"/>
    <row r="1675" customFormat="false" ht="15.75" hidden="true" customHeight="false" outlineLevel="0" collapsed="false"/>
    <row r="1676" customFormat="false" ht="15.75" hidden="true" customHeight="false" outlineLevel="0" collapsed="false"/>
    <row r="1677" customFormat="false" ht="15.75" hidden="true" customHeight="false" outlineLevel="0" collapsed="false"/>
    <row r="1678" customFormat="false" ht="15.75" hidden="true" customHeight="false" outlineLevel="0" collapsed="false"/>
    <row r="1679" customFormat="false" ht="15.75" hidden="true" customHeight="false" outlineLevel="0" collapsed="false"/>
    <row r="1680" customFormat="false" ht="15.75" hidden="true" customHeight="false" outlineLevel="0" collapsed="false"/>
    <row r="1681" customFormat="false" ht="15.75" hidden="true" customHeight="false" outlineLevel="0" collapsed="false"/>
    <row r="1682" customFormat="false" ht="15.75" hidden="true" customHeight="false" outlineLevel="0" collapsed="false"/>
    <row r="1683" customFormat="false" ht="15.75" hidden="true" customHeight="false" outlineLevel="0" collapsed="false"/>
    <row r="1684" customFormat="false" ht="15.75" hidden="true" customHeight="false" outlineLevel="0" collapsed="false"/>
    <row r="1685" customFormat="false" ht="15.75" hidden="true" customHeight="false" outlineLevel="0" collapsed="false"/>
    <row r="1686" customFormat="false" ht="15.75" hidden="true" customHeight="false" outlineLevel="0" collapsed="false"/>
    <row r="1687" customFormat="false" ht="15.75" hidden="true" customHeight="false" outlineLevel="0" collapsed="false"/>
    <row r="1688" customFormat="false" ht="15.75" hidden="true" customHeight="false" outlineLevel="0" collapsed="false"/>
    <row r="1689" customFormat="false" ht="15.75" hidden="true" customHeight="false" outlineLevel="0" collapsed="false"/>
    <row r="1690" customFormat="false" ht="15.75" hidden="true" customHeight="false" outlineLevel="0" collapsed="false"/>
    <row r="1691" customFormat="false" ht="15.75" hidden="true" customHeight="false" outlineLevel="0" collapsed="false"/>
    <row r="1692" customFormat="false" ht="15.75" hidden="true" customHeight="false" outlineLevel="0" collapsed="false"/>
    <row r="1693" customFormat="false" ht="15.75" hidden="true" customHeight="false" outlineLevel="0" collapsed="false"/>
    <row r="1694" customFormat="false" ht="15.75" hidden="true" customHeight="false" outlineLevel="0" collapsed="false"/>
    <row r="1695" customFormat="false" ht="15.75" hidden="true" customHeight="false" outlineLevel="0" collapsed="false"/>
    <row r="1696" customFormat="false" ht="15.75" hidden="true" customHeight="false" outlineLevel="0" collapsed="false"/>
    <row r="1697" customFormat="false" ht="15.75" hidden="true" customHeight="false" outlineLevel="0" collapsed="false"/>
    <row r="1698" customFormat="false" ht="15.75" hidden="true" customHeight="false" outlineLevel="0" collapsed="false"/>
    <row r="1699" customFormat="false" ht="15.75" hidden="true" customHeight="false" outlineLevel="0" collapsed="false"/>
    <row r="1700" customFormat="false" ht="15.75" hidden="true" customHeight="false" outlineLevel="0" collapsed="false"/>
    <row r="1701" customFormat="false" ht="15.75" hidden="true" customHeight="false" outlineLevel="0" collapsed="false"/>
    <row r="1702" customFormat="false" ht="15.75" hidden="true" customHeight="false" outlineLevel="0" collapsed="false"/>
    <row r="1703" customFormat="false" ht="15.75" hidden="true" customHeight="false" outlineLevel="0" collapsed="false"/>
    <row r="1704" customFormat="false" ht="15.75" hidden="true" customHeight="false" outlineLevel="0" collapsed="false"/>
    <row r="1705" customFormat="false" ht="15.75" hidden="true" customHeight="false" outlineLevel="0" collapsed="false"/>
    <row r="1706" customFormat="false" ht="15.75" hidden="true" customHeight="false" outlineLevel="0" collapsed="false"/>
    <row r="1707" customFormat="false" ht="15.75" hidden="true" customHeight="false" outlineLevel="0" collapsed="false"/>
    <row r="1708" customFormat="false" ht="15.75" hidden="true" customHeight="false" outlineLevel="0" collapsed="false"/>
    <row r="1709" customFormat="false" ht="15.75" hidden="true" customHeight="false" outlineLevel="0" collapsed="false"/>
    <row r="1710" customFormat="false" ht="15.75" hidden="true" customHeight="false" outlineLevel="0" collapsed="false"/>
    <row r="1711" customFormat="false" ht="15.75" hidden="true" customHeight="false" outlineLevel="0" collapsed="false"/>
    <row r="1712" customFormat="false" ht="15.75" hidden="true" customHeight="false" outlineLevel="0" collapsed="false"/>
    <row r="1713" customFormat="false" ht="15.75" hidden="true" customHeight="false" outlineLevel="0" collapsed="false"/>
    <row r="1714" customFormat="false" ht="15.75" hidden="true" customHeight="false" outlineLevel="0" collapsed="false"/>
    <row r="1715" customFormat="false" ht="15.75" hidden="true" customHeight="false" outlineLevel="0" collapsed="false"/>
    <row r="1716" customFormat="false" ht="15.75" hidden="true" customHeight="false" outlineLevel="0" collapsed="false"/>
    <row r="1717" customFormat="false" ht="15.75" hidden="true" customHeight="false" outlineLevel="0" collapsed="false"/>
    <row r="1718" customFormat="false" ht="15.75" hidden="true" customHeight="false" outlineLevel="0" collapsed="false"/>
    <row r="1719" customFormat="false" ht="15.75" hidden="true" customHeight="false" outlineLevel="0" collapsed="false"/>
    <row r="1720" customFormat="false" ht="15.75" hidden="true" customHeight="false" outlineLevel="0" collapsed="false"/>
    <row r="1721" customFormat="false" ht="15.75" hidden="true" customHeight="false" outlineLevel="0" collapsed="false"/>
    <row r="1722" customFormat="false" ht="15.75" hidden="true" customHeight="false" outlineLevel="0" collapsed="false"/>
    <row r="1723" customFormat="false" ht="15.75" hidden="true" customHeight="false" outlineLevel="0" collapsed="false"/>
    <row r="1724" customFormat="false" ht="15.75" hidden="true" customHeight="false" outlineLevel="0" collapsed="false"/>
    <row r="1725" customFormat="false" ht="15.75" hidden="true" customHeight="false" outlineLevel="0" collapsed="false"/>
    <row r="1726" customFormat="false" ht="15.75" hidden="true" customHeight="false" outlineLevel="0" collapsed="false"/>
    <row r="1727" customFormat="false" ht="15.75" hidden="true" customHeight="false" outlineLevel="0" collapsed="false"/>
    <row r="1728" customFormat="false" ht="15.75" hidden="true" customHeight="false" outlineLevel="0" collapsed="false"/>
    <row r="1729" customFormat="false" ht="15.75" hidden="true" customHeight="false" outlineLevel="0" collapsed="false"/>
    <row r="1730" customFormat="false" ht="15.75" hidden="true" customHeight="false" outlineLevel="0" collapsed="false"/>
    <row r="1731" customFormat="false" ht="15.75" hidden="true" customHeight="false" outlineLevel="0" collapsed="false"/>
    <row r="1732" customFormat="false" ht="15.75" hidden="true" customHeight="false" outlineLevel="0" collapsed="false"/>
    <row r="1733" customFormat="false" ht="15.75" hidden="true" customHeight="false" outlineLevel="0" collapsed="false"/>
    <row r="1734" customFormat="false" ht="15.75" hidden="true" customHeight="false" outlineLevel="0" collapsed="false"/>
    <row r="1735" customFormat="false" ht="15.75" hidden="true" customHeight="false" outlineLevel="0" collapsed="false"/>
    <row r="1736" customFormat="false" ht="15.75" hidden="true" customHeight="false" outlineLevel="0" collapsed="false"/>
    <row r="1737" customFormat="false" ht="15.75" hidden="true" customHeight="false" outlineLevel="0" collapsed="false"/>
    <row r="1738" customFormat="false" ht="15.75" hidden="true" customHeight="false" outlineLevel="0" collapsed="false"/>
    <row r="1739" customFormat="false" ht="15.75" hidden="true" customHeight="false" outlineLevel="0" collapsed="false"/>
    <row r="1740" customFormat="false" ht="15.75" hidden="true" customHeight="false" outlineLevel="0" collapsed="false"/>
    <row r="1741" customFormat="false" ht="15.75" hidden="true" customHeight="false" outlineLevel="0" collapsed="false"/>
    <row r="1742" customFormat="false" ht="15.75" hidden="true" customHeight="false" outlineLevel="0" collapsed="false"/>
    <row r="1743" customFormat="false" ht="15.75" hidden="true" customHeight="false" outlineLevel="0" collapsed="false"/>
    <row r="1744" customFormat="false" ht="15.75" hidden="true" customHeight="false" outlineLevel="0" collapsed="false"/>
    <row r="1745" customFormat="false" ht="15.75" hidden="true" customHeight="false" outlineLevel="0" collapsed="false"/>
    <row r="1746" customFormat="false" ht="15.75" hidden="true" customHeight="false" outlineLevel="0" collapsed="false"/>
    <row r="1747" customFormat="false" ht="15.75" hidden="true" customHeight="false" outlineLevel="0" collapsed="false"/>
    <row r="1748" customFormat="false" ht="15.75" hidden="true" customHeight="false" outlineLevel="0" collapsed="false"/>
    <row r="1749" customFormat="false" ht="15.75" hidden="true" customHeight="false" outlineLevel="0" collapsed="false"/>
    <row r="1750" customFormat="false" ht="15.75" hidden="true" customHeight="false" outlineLevel="0" collapsed="false"/>
    <row r="1751" customFormat="false" ht="15.75" hidden="true" customHeight="false" outlineLevel="0" collapsed="false"/>
    <row r="1752" customFormat="false" ht="15.75" hidden="true" customHeight="false" outlineLevel="0" collapsed="false"/>
    <row r="1753" customFormat="false" ht="15.75" hidden="true" customHeight="false" outlineLevel="0" collapsed="false"/>
    <row r="1754" customFormat="false" ht="15.75" hidden="true" customHeight="false" outlineLevel="0" collapsed="false"/>
    <row r="1755" customFormat="false" ht="15.75" hidden="true" customHeight="false" outlineLevel="0" collapsed="false"/>
    <row r="1756" customFormat="false" ht="15.75" hidden="true" customHeight="false" outlineLevel="0" collapsed="false"/>
    <row r="1757" customFormat="false" ht="15.75" hidden="true" customHeight="false" outlineLevel="0" collapsed="false"/>
    <row r="1758" customFormat="false" ht="15.75" hidden="true" customHeight="false" outlineLevel="0" collapsed="false"/>
    <row r="1759" customFormat="false" ht="15.75" hidden="true" customHeight="false" outlineLevel="0" collapsed="false"/>
    <row r="1760" customFormat="false" ht="15.75" hidden="true" customHeight="false" outlineLevel="0" collapsed="false"/>
    <row r="1761" customFormat="false" ht="15.75" hidden="true" customHeight="false" outlineLevel="0" collapsed="false"/>
    <row r="1762" customFormat="false" ht="15.75" hidden="true" customHeight="false" outlineLevel="0" collapsed="false"/>
    <row r="1763" customFormat="false" ht="15.75" hidden="true" customHeight="false" outlineLevel="0" collapsed="false"/>
    <row r="1764" customFormat="false" ht="15.75" hidden="true" customHeight="false" outlineLevel="0" collapsed="false"/>
    <row r="1765" customFormat="false" ht="15.75" hidden="true" customHeight="false" outlineLevel="0" collapsed="false"/>
    <row r="1766" customFormat="false" ht="15.75" hidden="true" customHeight="false" outlineLevel="0" collapsed="false"/>
    <row r="1767" customFormat="false" ht="15.75" hidden="true" customHeight="false" outlineLevel="0" collapsed="false"/>
    <row r="1768" customFormat="false" ht="15.75" hidden="true" customHeight="false" outlineLevel="0" collapsed="false"/>
    <row r="1769" customFormat="false" ht="15.75" hidden="true" customHeight="false" outlineLevel="0" collapsed="false"/>
    <row r="1770" customFormat="false" ht="15.75" hidden="true" customHeight="false" outlineLevel="0" collapsed="false"/>
    <row r="1771" customFormat="false" ht="15.75" hidden="true" customHeight="false" outlineLevel="0" collapsed="false"/>
    <row r="1772" customFormat="false" ht="15.75" hidden="true" customHeight="false" outlineLevel="0" collapsed="false"/>
    <row r="1773" customFormat="false" ht="15.75" hidden="true" customHeight="false" outlineLevel="0" collapsed="false"/>
    <row r="1774" customFormat="false" ht="15.75" hidden="true" customHeight="false" outlineLevel="0" collapsed="false"/>
    <row r="1775" customFormat="false" ht="15.75" hidden="true" customHeight="false" outlineLevel="0" collapsed="false"/>
    <row r="1776" customFormat="false" ht="15.75" hidden="true" customHeight="false" outlineLevel="0" collapsed="false"/>
    <row r="1777" customFormat="false" ht="15.75" hidden="true" customHeight="false" outlineLevel="0" collapsed="false"/>
    <row r="1778" customFormat="false" ht="15.75" hidden="true" customHeight="false" outlineLevel="0" collapsed="false"/>
    <row r="1779" customFormat="false" ht="15.75" hidden="true" customHeight="false" outlineLevel="0" collapsed="false"/>
    <row r="1780" customFormat="false" ht="15.75" hidden="true" customHeight="false" outlineLevel="0" collapsed="false"/>
    <row r="1781" customFormat="false" ht="15.75" hidden="true" customHeight="false" outlineLevel="0" collapsed="false"/>
    <row r="1782" customFormat="false" ht="15.75" hidden="true" customHeight="false" outlineLevel="0" collapsed="false"/>
    <row r="1783" customFormat="false" ht="15.75" hidden="true" customHeight="false" outlineLevel="0" collapsed="false"/>
    <row r="1784" customFormat="false" ht="15.75" hidden="true" customHeight="false" outlineLevel="0" collapsed="false"/>
    <row r="1785" customFormat="false" ht="15.75" hidden="true" customHeight="false" outlineLevel="0" collapsed="false"/>
    <row r="1786" customFormat="false" ht="15.75" hidden="true" customHeight="false" outlineLevel="0" collapsed="false"/>
    <row r="1787" customFormat="false" ht="15.75" hidden="true" customHeight="false" outlineLevel="0" collapsed="false"/>
    <row r="1788" customFormat="false" ht="15.75" hidden="true" customHeight="false" outlineLevel="0" collapsed="false"/>
    <row r="1789" customFormat="false" ht="15.75" hidden="true" customHeight="false" outlineLevel="0" collapsed="false"/>
    <row r="1790" customFormat="false" ht="15.75" hidden="true" customHeight="false" outlineLevel="0" collapsed="false"/>
    <row r="1791" customFormat="false" ht="15.75" hidden="true" customHeight="false" outlineLevel="0" collapsed="false"/>
    <row r="1792" customFormat="false" ht="15.75" hidden="true" customHeight="false" outlineLevel="0" collapsed="false"/>
    <row r="1793" customFormat="false" ht="15.75" hidden="true" customHeight="false" outlineLevel="0" collapsed="false"/>
    <row r="1794" customFormat="false" ht="15.75" hidden="true" customHeight="false" outlineLevel="0" collapsed="false"/>
    <row r="1795" customFormat="false" ht="15.75" hidden="true" customHeight="false" outlineLevel="0" collapsed="false"/>
    <row r="1796" customFormat="false" ht="15.75" hidden="true" customHeight="false" outlineLevel="0" collapsed="false"/>
    <row r="1797" customFormat="false" ht="15.75" hidden="true" customHeight="false" outlineLevel="0" collapsed="false"/>
    <row r="1798" customFormat="false" ht="15.75" hidden="true" customHeight="false" outlineLevel="0" collapsed="false"/>
    <row r="1799" customFormat="false" ht="15.75" hidden="true" customHeight="false" outlineLevel="0" collapsed="false"/>
    <row r="1800" customFormat="false" ht="15.75" hidden="true" customHeight="false" outlineLevel="0" collapsed="false"/>
    <row r="1801" customFormat="false" ht="15.75" hidden="true" customHeight="false" outlineLevel="0" collapsed="false"/>
    <row r="1802" customFormat="false" ht="15.75" hidden="true" customHeight="false" outlineLevel="0" collapsed="false"/>
    <row r="1803" customFormat="false" ht="15.75" hidden="true" customHeight="false" outlineLevel="0" collapsed="false"/>
    <row r="1804" customFormat="false" ht="15.75" hidden="true" customHeight="false" outlineLevel="0" collapsed="false"/>
    <row r="1805" customFormat="false" ht="15.75" hidden="true" customHeight="false" outlineLevel="0" collapsed="false"/>
    <row r="1806" customFormat="false" ht="15.75" hidden="true" customHeight="false" outlineLevel="0" collapsed="false"/>
    <row r="1807" customFormat="false" ht="15.75" hidden="true" customHeight="false" outlineLevel="0" collapsed="false"/>
    <row r="1808" customFormat="false" ht="15.75" hidden="true" customHeight="false" outlineLevel="0" collapsed="false"/>
    <row r="1809" customFormat="false" ht="15.75" hidden="true" customHeight="false" outlineLevel="0" collapsed="false"/>
    <row r="1810" customFormat="false" ht="15.75" hidden="true" customHeight="false" outlineLevel="0" collapsed="false"/>
    <row r="1811" customFormat="false" ht="15.75" hidden="true" customHeight="false" outlineLevel="0" collapsed="false"/>
    <row r="1812" customFormat="false" ht="15.75" hidden="true" customHeight="false" outlineLevel="0" collapsed="false"/>
    <row r="1813" customFormat="false" ht="15.75" hidden="true" customHeight="false" outlineLevel="0" collapsed="false"/>
    <row r="1814" customFormat="false" ht="15.75" hidden="true" customHeight="false" outlineLevel="0" collapsed="false"/>
    <row r="1815" customFormat="false" ht="15.75" hidden="true" customHeight="false" outlineLevel="0" collapsed="false"/>
    <row r="1816" customFormat="false" ht="15.75" hidden="true" customHeight="false" outlineLevel="0" collapsed="false"/>
    <row r="1817" customFormat="false" ht="15.75" hidden="true" customHeight="false" outlineLevel="0" collapsed="false"/>
    <row r="1818" customFormat="false" ht="15.75" hidden="true" customHeight="false" outlineLevel="0" collapsed="false"/>
    <row r="1819" customFormat="false" ht="15.75" hidden="true" customHeight="false" outlineLevel="0" collapsed="false"/>
    <row r="1820" customFormat="false" ht="15.75" hidden="true" customHeight="false" outlineLevel="0" collapsed="false"/>
    <row r="1821" customFormat="false" ht="15.75" hidden="true" customHeight="false" outlineLevel="0" collapsed="false"/>
    <row r="1822" customFormat="false" ht="15.75" hidden="true" customHeight="false" outlineLevel="0" collapsed="false"/>
    <row r="1823" customFormat="false" ht="15.75" hidden="true" customHeight="false" outlineLevel="0" collapsed="false"/>
    <row r="1824" customFormat="false" ht="15.75" hidden="true" customHeight="false" outlineLevel="0" collapsed="false"/>
    <row r="1825" customFormat="false" ht="15.75" hidden="true" customHeight="false" outlineLevel="0" collapsed="false"/>
    <row r="1826" customFormat="false" ht="15.75" hidden="true" customHeight="false" outlineLevel="0" collapsed="false"/>
    <row r="1827" customFormat="false" ht="15.75" hidden="true" customHeight="false" outlineLevel="0" collapsed="false"/>
    <row r="1828" customFormat="false" ht="15.75" hidden="true" customHeight="false" outlineLevel="0" collapsed="false"/>
    <row r="1829" customFormat="false" ht="15.75" hidden="true" customHeight="false" outlineLevel="0" collapsed="false"/>
    <row r="1830" customFormat="false" ht="15.75" hidden="true" customHeight="false" outlineLevel="0" collapsed="false"/>
    <row r="1831" customFormat="false" ht="15.75" hidden="true" customHeight="false" outlineLevel="0" collapsed="false"/>
    <row r="1832" customFormat="false" ht="15.75" hidden="true" customHeight="false" outlineLevel="0" collapsed="false"/>
    <row r="1833" customFormat="false" ht="15.75" hidden="true" customHeight="false" outlineLevel="0" collapsed="false"/>
    <row r="1834" customFormat="false" ht="15.75" hidden="true" customHeight="false" outlineLevel="0" collapsed="false"/>
    <row r="1835" customFormat="false" ht="15.75" hidden="true" customHeight="false" outlineLevel="0" collapsed="false"/>
    <row r="1836" customFormat="false" ht="15.75" hidden="true" customHeight="false" outlineLevel="0" collapsed="false"/>
    <row r="1837" customFormat="false" ht="15.75" hidden="true" customHeight="false" outlineLevel="0" collapsed="false"/>
    <row r="1838" customFormat="false" ht="15.75" hidden="true" customHeight="false" outlineLevel="0" collapsed="false"/>
    <row r="1839" customFormat="false" ht="15.75" hidden="true" customHeight="false" outlineLevel="0" collapsed="false"/>
    <row r="1840" customFormat="false" ht="15.75" hidden="true" customHeight="false" outlineLevel="0" collapsed="false"/>
    <row r="1841" customFormat="false" ht="15.75" hidden="true" customHeight="false" outlineLevel="0" collapsed="false"/>
    <row r="1842" customFormat="false" ht="15.75" hidden="true" customHeight="false" outlineLevel="0" collapsed="false"/>
    <row r="1843" customFormat="false" ht="15.75" hidden="true" customHeight="false" outlineLevel="0" collapsed="false"/>
    <row r="1844" customFormat="false" ht="15.75" hidden="true" customHeight="false" outlineLevel="0" collapsed="false"/>
    <row r="1845" customFormat="false" ht="15.75" hidden="true" customHeight="false" outlineLevel="0" collapsed="false"/>
    <row r="1846" customFormat="false" ht="15.75" hidden="true" customHeight="false" outlineLevel="0" collapsed="false"/>
    <row r="1847" customFormat="false" ht="15.75" hidden="true" customHeight="false" outlineLevel="0" collapsed="false"/>
    <row r="1848" customFormat="false" ht="15.75" hidden="true" customHeight="false" outlineLevel="0" collapsed="false"/>
    <row r="1849" customFormat="false" ht="15.75" hidden="true" customHeight="false" outlineLevel="0" collapsed="false"/>
    <row r="1850" customFormat="false" ht="15.75" hidden="true" customHeight="false" outlineLevel="0" collapsed="false"/>
    <row r="1851" customFormat="false" ht="15.75" hidden="true" customHeight="false" outlineLevel="0" collapsed="false"/>
    <row r="1852" customFormat="false" ht="15.75" hidden="true" customHeight="false" outlineLevel="0" collapsed="false"/>
    <row r="1853" customFormat="false" ht="15.75" hidden="true" customHeight="false" outlineLevel="0" collapsed="false"/>
    <row r="1854" customFormat="false" ht="15.75" hidden="true" customHeight="false" outlineLevel="0" collapsed="false"/>
    <row r="1855" customFormat="false" ht="15.75" hidden="true" customHeight="false" outlineLevel="0" collapsed="false"/>
    <row r="1856" customFormat="false" ht="15.75" hidden="true" customHeight="false" outlineLevel="0" collapsed="false"/>
    <row r="1857" customFormat="false" ht="15.75" hidden="true" customHeight="false" outlineLevel="0" collapsed="false"/>
    <row r="1858" customFormat="false" ht="15.75" hidden="true" customHeight="false" outlineLevel="0" collapsed="false"/>
    <row r="1859" customFormat="false" ht="15.75" hidden="true" customHeight="false" outlineLevel="0" collapsed="false"/>
    <row r="1860" customFormat="false" ht="15.75" hidden="true" customHeight="false" outlineLevel="0" collapsed="false"/>
    <row r="1861" customFormat="false" ht="15.75" hidden="true" customHeight="false" outlineLevel="0" collapsed="false"/>
    <row r="1862" customFormat="false" ht="15.75" hidden="true" customHeight="false" outlineLevel="0" collapsed="false"/>
    <row r="1863" customFormat="false" ht="15.75" hidden="true" customHeight="false" outlineLevel="0" collapsed="false"/>
    <row r="1864" customFormat="false" ht="15.75" hidden="true" customHeight="false" outlineLevel="0" collapsed="false"/>
    <row r="1865" customFormat="false" ht="15.75" hidden="true" customHeight="false" outlineLevel="0" collapsed="false"/>
    <row r="1866" customFormat="false" ht="15.75" hidden="true" customHeight="false" outlineLevel="0" collapsed="false"/>
    <row r="1867" customFormat="false" ht="15.75" hidden="true" customHeight="false" outlineLevel="0" collapsed="false"/>
    <row r="1868" customFormat="false" ht="15.75" hidden="true" customHeight="false" outlineLevel="0" collapsed="false"/>
    <row r="1869" customFormat="false" ht="15.75" hidden="true" customHeight="false" outlineLevel="0" collapsed="false"/>
    <row r="1870" customFormat="false" ht="15.75" hidden="true" customHeight="false" outlineLevel="0" collapsed="false"/>
    <row r="1871" customFormat="false" ht="15.75" hidden="true" customHeight="false" outlineLevel="0" collapsed="false"/>
    <row r="1872" customFormat="false" ht="15.75" hidden="true" customHeight="false" outlineLevel="0" collapsed="false"/>
    <row r="1873" customFormat="false" ht="15.75" hidden="true" customHeight="false" outlineLevel="0" collapsed="false"/>
    <row r="1874" customFormat="false" ht="15.75" hidden="true" customHeight="false" outlineLevel="0" collapsed="false"/>
    <row r="1875" customFormat="false" ht="15.75" hidden="true" customHeight="false" outlineLevel="0" collapsed="false"/>
    <row r="1876" customFormat="false" ht="15.75" hidden="true" customHeight="false" outlineLevel="0" collapsed="false"/>
    <row r="1877" customFormat="false" ht="15.75" hidden="true" customHeight="false" outlineLevel="0" collapsed="false"/>
    <row r="1878" customFormat="false" ht="15.75" hidden="true" customHeight="false" outlineLevel="0" collapsed="false"/>
    <row r="1879" customFormat="false" ht="15.75" hidden="true" customHeight="false" outlineLevel="0" collapsed="false"/>
    <row r="1880" customFormat="false" ht="15.75" hidden="true" customHeight="false" outlineLevel="0" collapsed="false"/>
    <row r="1881" customFormat="false" ht="15.75" hidden="true" customHeight="false" outlineLevel="0" collapsed="false"/>
    <row r="1882" customFormat="false" ht="15.75" hidden="true" customHeight="false" outlineLevel="0" collapsed="false"/>
    <row r="1883" customFormat="false" ht="15.75" hidden="true" customHeight="false" outlineLevel="0" collapsed="false"/>
    <row r="1884" customFormat="false" ht="15.75" hidden="true" customHeight="false" outlineLevel="0" collapsed="false"/>
    <row r="1885" customFormat="false" ht="15.75" hidden="true" customHeight="false" outlineLevel="0" collapsed="false"/>
    <row r="1886" customFormat="false" ht="15.75" hidden="true" customHeight="false" outlineLevel="0" collapsed="false"/>
    <row r="1887" customFormat="false" ht="15.75" hidden="true" customHeight="false" outlineLevel="0" collapsed="false"/>
    <row r="1888" customFormat="false" ht="15.75" hidden="true" customHeight="false" outlineLevel="0" collapsed="false"/>
    <row r="1889" customFormat="false" ht="15.75" hidden="true" customHeight="false" outlineLevel="0" collapsed="false"/>
    <row r="1890" customFormat="false" ht="15.75" hidden="true" customHeight="false" outlineLevel="0" collapsed="false"/>
    <row r="1891" customFormat="false" ht="15.75" hidden="true" customHeight="false" outlineLevel="0" collapsed="false"/>
    <row r="1892" customFormat="false" ht="15.75" hidden="true" customHeight="false" outlineLevel="0" collapsed="false"/>
    <row r="1893" customFormat="false" ht="15.75" hidden="true" customHeight="false" outlineLevel="0" collapsed="false"/>
    <row r="1894" customFormat="false" ht="15.75" hidden="true" customHeight="fals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W1894">
    <filterColumn colId="3">
      <filters>
        <filter val="YES"/>
      </filters>
    </filterColumn>
  </autoFilter>
  <conditionalFormatting sqref="D1">
    <cfRule type="containsText" priority="2" operator="containsText" aboveAverage="0" equalAverage="0" bottom="0" percent="0" rank="0" text="YES" dxfId="6">
      <formula>NOT(ISERROR(SEARCH("YES",D1)))</formula>
    </cfRule>
    <cfRule type="containsText" priority="3" operator="containsText" aboveAverage="0" equalAverage="0" bottom="0" percent="0" rank="0" text="NO" dxfId="7">
      <formula>NOT(ISERROR(SEARCH("NO",D1)))</formula>
    </cfRule>
  </conditionalFormatting>
  <conditionalFormatting sqref="J3:J176">
    <cfRule type="cellIs" priority="4" operator="greaterThan" aboveAverage="0" equalAverage="0" bottom="0" percent="0" rank="0" text="" dxfId="6">
      <formula>1500000</formula>
    </cfRule>
    <cfRule type="expression" priority="5" aboveAverage="0" equalAverage="0" bottom="0" percent="0" rank="0" text="" dxfId="7">
      <formula>LEN(TRIM(J3))&gt;0</formula>
    </cfRule>
  </conditionalFormatting>
  <conditionalFormatting sqref="J1">
    <cfRule type="cellIs" priority="6" operator="greaterThan" aboveAverage="0" equalAverage="0" bottom="0" percent="0" rank="0" text="" dxfId="8">
      <formula>1000000</formula>
    </cfRule>
  </conditionalFormatting>
  <conditionalFormatting sqref="A1">
    <cfRule type="cellIs" priority="7" operator="greaterThan" aboveAverage="0" equalAverage="0" bottom="0" percent="0" rank="0" text="" dxfId="9">
      <formula>1000000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2025-04-09T17:52:02Z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